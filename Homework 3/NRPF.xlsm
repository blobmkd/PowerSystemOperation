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ce\OneDrive - pees.feit\Documents\1_PEES\1_Predavanja\2_Zimski semestar\1_REES\1_domasni\dom_3\"/>
    </mc:Choice>
  </mc:AlternateContent>
  <xr:revisionPtr revIDLastSave="0" documentId="13_ncr:1_{7322ABEF-640E-4B49-B1B4-676E6A4B4EEE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jazli" sheetId="1" r:id="rId1"/>
    <sheet name="granki" sheetId="2" r:id="rId2"/>
    <sheet name="gen" sheetId="3" r:id="rId3"/>
    <sheet name="KB" sheetId="12" r:id="rId4"/>
    <sheet name="tipskiV" sheetId="4" r:id="rId5"/>
    <sheet name="tipskiT" sheetId="5" r:id="rId6"/>
    <sheet name="granki_out" sheetId="6" r:id="rId7"/>
    <sheet name="jazli_out" sheetId="7" r:id="rId8"/>
    <sheet name="G" sheetId="8" r:id="rId9"/>
    <sheet name="B" sheetId="9" r:id="rId10"/>
    <sheet name="J" sheetId="10" r:id="rId11"/>
    <sheet name="LU" sheetId="1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3" l="1"/>
  <c r="D3" i="3"/>
  <c r="D4" i="3"/>
  <c r="D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  <author>Risto Ackovski</author>
  </authors>
  <commentList>
    <comment ref="A1" authorId="0" shapeId="0" xr:uid="{00000000-0006-0000-0000-000001000000}">
      <text>
        <r>
          <rPr>
            <b/>
            <sz val="8"/>
            <color indexed="81"/>
            <rFont val="Tahoma"/>
            <family val="2"/>
            <charset val="204"/>
          </rPr>
          <t>Reden broj:</t>
        </r>
      </text>
    </comment>
    <comment ref="K1" authorId="0" shapeId="0" xr:uid="{00000000-0006-0000-0000-000002000000}">
      <text>
        <r>
          <rPr>
            <b/>
            <sz val="8"/>
            <color indexed="12"/>
            <rFont val="Tahoma"/>
            <family val="2"/>
            <charset val="204"/>
          </rPr>
          <t xml:space="preserve">R e s e n i e : </t>
        </r>
        <r>
          <rPr>
            <b/>
            <sz val="8"/>
            <color indexed="81"/>
            <rFont val="Tahoma"/>
            <family val="2"/>
            <charset val="204"/>
          </rPr>
          <t xml:space="preserve">
Modul na naponot (kV)</t>
        </r>
      </text>
    </comment>
    <comment ref="L1" authorId="0" shapeId="0" xr:uid="{00000000-0006-0000-0000-000003000000}">
      <text>
        <r>
          <rPr>
            <b/>
            <sz val="8"/>
            <color indexed="12"/>
            <rFont val="Tahoma"/>
            <family val="2"/>
            <charset val="204"/>
          </rPr>
          <t xml:space="preserve">R e s e n i e : </t>
        </r>
        <r>
          <rPr>
            <b/>
            <sz val="8"/>
            <color indexed="81"/>
            <rFont val="Tahoma"/>
            <family val="2"/>
            <charset val="204"/>
          </rPr>
          <t xml:space="preserve">
Argument na naponot  (o)</t>
        </r>
      </text>
    </comment>
    <comment ref="M1" authorId="0" shapeId="0" xr:uid="{00000000-0006-0000-0000-000004000000}">
      <text>
        <r>
          <rPr>
            <b/>
            <sz val="8"/>
            <color indexed="12"/>
            <rFont val="Tahoma"/>
            <family val="2"/>
            <charset val="204"/>
          </rPr>
          <t xml:space="preserve">R e s e n i e : </t>
        </r>
        <r>
          <rPr>
            <b/>
            <sz val="8"/>
            <color indexed="81"/>
            <rFont val="Tahoma"/>
            <family val="2"/>
            <charset val="204"/>
          </rPr>
          <t xml:space="preserve">
Realen del na naponot (kV)</t>
        </r>
      </text>
    </comment>
    <comment ref="N1" authorId="0" shapeId="0" xr:uid="{00000000-0006-0000-0000-000005000000}">
      <text>
        <r>
          <rPr>
            <b/>
            <sz val="8"/>
            <color indexed="12"/>
            <rFont val="Tahoma"/>
            <family val="2"/>
            <charset val="204"/>
          </rPr>
          <t xml:space="preserve">R e s e n i e : </t>
        </r>
        <r>
          <rPr>
            <b/>
            <sz val="8"/>
            <color indexed="81"/>
            <rFont val="Tahoma"/>
            <family val="2"/>
            <charset val="204"/>
          </rPr>
          <t xml:space="preserve">
Imaginaren del na naponot (kV)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B2" authorId="1" shapeId="0" xr:uid="{38A5D0DD-D651-4DDF-B5F7-516DF5191F27}">
      <text>
        <r>
          <rPr>
            <sz val="11"/>
            <color indexed="81"/>
            <rFont val="M_Swiss"/>
            <family val="2"/>
          </rPr>
          <t xml:space="preserve">Balansen jazel </t>
        </r>
        <r>
          <rPr>
            <b/>
            <sz val="11"/>
            <color indexed="81"/>
            <rFont val="Tahoma"/>
            <family val="2"/>
            <charset val="204"/>
          </rPr>
          <t>(Slack bus)</t>
        </r>
      </text>
    </comment>
    <comment ref="C2" authorId="1" shapeId="0" xr:uid="{5BDEF24B-A788-4804-83DF-F94E4D9D5CB3}">
      <text>
        <r>
          <rPr>
            <b/>
            <i/>
            <sz val="11"/>
            <color indexed="81"/>
            <rFont val="Times New Roman"/>
            <family val="1"/>
            <charset val="204"/>
          </rPr>
          <t>U</t>
        </r>
        <r>
          <rPr>
            <b/>
            <i/>
            <sz val="8"/>
            <color indexed="81"/>
            <rFont val="Times New Roman"/>
            <family val="1"/>
            <charset val="204"/>
          </rPr>
          <t>S</t>
        </r>
        <r>
          <rPr>
            <b/>
            <i/>
            <sz val="11"/>
            <color indexed="81"/>
            <rFont val="Times New Roman"/>
            <family val="1"/>
            <charset val="204"/>
          </rPr>
          <t xml:space="preserve"> - </t>
        </r>
        <r>
          <rPr>
            <sz val="11"/>
            <color indexed="81"/>
            <rFont val="M_Swiss"/>
            <family val="2"/>
          </rPr>
          <t xml:space="preserve">napon vo balansniot jazel </t>
        </r>
        <r>
          <rPr>
            <sz val="11"/>
            <color indexed="81"/>
            <rFont val="Times New Roman"/>
            <family val="1"/>
            <charset val="204"/>
          </rPr>
          <t>(kV)</t>
        </r>
      </text>
    </comment>
    <comment ref="D2" authorId="1" shapeId="0" xr:uid="{9ABCF62B-8F64-4368-962A-AAA4E270024D}">
      <text>
        <r>
          <rPr>
            <b/>
            <i/>
            <sz val="11"/>
            <color indexed="81"/>
            <rFont val="Times New Roman"/>
            <family val="1"/>
            <charset val="204"/>
          </rPr>
          <t>C</t>
        </r>
        <r>
          <rPr>
            <b/>
            <i/>
            <sz val="8"/>
            <color indexed="81"/>
            <rFont val="Times New Roman"/>
            <family val="1"/>
            <charset val="204"/>
          </rPr>
          <t>P</t>
        </r>
        <r>
          <rPr>
            <sz val="11"/>
            <color indexed="81"/>
            <rFont val="M_Swiss"/>
            <family val="2"/>
          </rPr>
          <t xml:space="preserve"> - mno`itel na aktivnite mo]nosti </t>
        </r>
        <r>
          <rPr>
            <b/>
            <i/>
            <sz val="11"/>
            <color indexed="81"/>
            <rFont val="Arial"/>
            <family val="2"/>
            <charset val="204"/>
          </rPr>
          <t>P</t>
        </r>
        <r>
          <rPr>
            <sz val="11"/>
            <color indexed="81"/>
            <rFont val="M_Swiss"/>
            <family val="2"/>
          </rPr>
          <t xml:space="preserve"> na potro[uva~ite</t>
        </r>
      </text>
    </comment>
    <comment ref="E2" authorId="1" shapeId="0" xr:uid="{CC2A67B6-9F90-4F5C-B4E4-B3963A72D767}">
      <text>
        <r>
          <rPr>
            <b/>
            <i/>
            <sz val="11"/>
            <color indexed="81"/>
            <rFont val="Times New Roman"/>
            <family val="1"/>
            <charset val="204"/>
          </rPr>
          <t>C</t>
        </r>
        <r>
          <rPr>
            <b/>
            <i/>
            <sz val="8"/>
            <color indexed="81"/>
            <rFont val="Times New Roman"/>
            <family val="1"/>
            <charset val="204"/>
          </rPr>
          <t xml:space="preserve">Q </t>
        </r>
        <r>
          <rPr>
            <i/>
            <sz val="8"/>
            <color indexed="81"/>
            <rFont val="Symbol"/>
            <family val="1"/>
            <charset val="2"/>
          </rPr>
          <t>-</t>
        </r>
        <r>
          <rPr>
            <sz val="10"/>
            <color indexed="81"/>
            <rFont val="M_Swiss"/>
            <family val="2"/>
          </rPr>
          <t xml:space="preserve"> </t>
        </r>
        <r>
          <rPr>
            <sz val="11"/>
            <color indexed="81"/>
            <rFont val="M_Swiss"/>
            <family val="2"/>
          </rPr>
          <t>mno`itel na reaktivnite mo]nosti</t>
        </r>
        <r>
          <rPr>
            <i/>
            <sz val="8"/>
            <color indexed="81"/>
            <rFont val="Tahoma"/>
            <family val="2"/>
            <charset val="204"/>
          </rPr>
          <t xml:space="preserve"> </t>
        </r>
        <r>
          <rPr>
            <b/>
            <i/>
            <sz val="11"/>
            <color indexed="81"/>
            <rFont val="Tahoma"/>
            <family val="2"/>
            <charset val="204"/>
          </rPr>
          <t xml:space="preserve">Q </t>
        </r>
        <r>
          <rPr>
            <sz val="11"/>
            <color indexed="81"/>
            <rFont val="M_Swiss"/>
            <family val="2"/>
          </rPr>
          <t>na potro[uva~ite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1" authorId="0" shapeId="0" xr:uid="{00000000-0006-0000-0100-000001000000}">
      <text>
        <r>
          <rPr>
            <b/>
            <sz val="8"/>
            <color indexed="81"/>
            <rFont val="Tahoma"/>
            <family val="2"/>
            <charset val="204"/>
          </rPr>
          <t>Reden broj
na grankata</t>
        </r>
      </text>
    </comment>
    <comment ref="B1" authorId="0" shapeId="0" xr:uid="{00000000-0006-0000-0100-000002000000}">
      <text>
        <r>
          <rPr>
            <b/>
            <sz val="8"/>
            <color indexed="81"/>
            <rFont val="Tahoma"/>
            <family val="2"/>
            <charset val="204"/>
          </rPr>
          <t>Ime na pocetniot jazel</t>
        </r>
      </text>
    </comment>
    <comment ref="C1" authorId="0" shapeId="0" xr:uid="{00000000-0006-0000-0100-000003000000}">
      <text>
        <r>
          <rPr>
            <b/>
            <sz val="8"/>
            <color indexed="81"/>
            <rFont val="Tahoma"/>
            <family val="2"/>
            <charset val="204"/>
          </rPr>
          <t>Ime na krajniot jazel</t>
        </r>
      </text>
    </comment>
    <comment ref="D1" authorId="0" shapeId="0" xr:uid="{00000000-0006-0000-0100-000004000000}">
      <text>
        <r>
          <rPr>
            <b/>
            <sz val="8"/>
            <color indexed="81"/>
            <rFont val="Tahoma"/>
            <family val="2"/>
            <charset val="204"/>
          </rPr>
          <t>Tip na grankata:
V*** - vod
T*** - transformator</t>
        </r>
      </text>
    </comment>
    <comment ref="E1" authorId="0" shapeId="0" xr:uid="{00000000-0006-0000-0100-000005000000}">
      <text>
        <r>
          <rPr>
            <b/>
            <sz val="8"/>
            <color indexed="81"/>
            <rFont val="Tahoma"/>
            <family val="2"/>
            <charset val="204"/>
          </rPr>
          <t xml:space="preserve">Dolzina L (km) kaj vodovite 
ili
Pozicija </t>
        </r>
        <r>
          <rPr>
            <b/>
            <sz val="8"/>
            <color indexed="81"/>
            <rFont val="Symbol"/>
            <family val="1"/>
            <charset val="2"/>
          </rPr>
          <t>a</t>
        </r>
        <r>
          <rPr>
            <b/>
            <sz val="8"/>
            <color indexed="81"/>
            <rFont val="Tahoma"/>
            <family val="2"/>
            <charset val="204"/>
          </rPr>
          <t>(%) na reg. preklopka kaj TR.</t>
        </r>
      </text>
    </comment>
    <comment ref="G1" authorId="0" shapeId="0" xr:uid="{00000000-0006-0000-0100-000006000000}">
      <text>
        <r>
          <rPr>
            <b/>
            <sz val="8"/>
            <color indexed="12"/>
            <rFont val="Tahoma"/>
            <family val="2"/>
            <charset val="204"/>
          </rPr>
          <t>R e s e n i e :</t>
        </r>
        <r>
          <rPr>
            <b/>
            <sz val="8"/>
            <color indexed="81"/>
            <rFont val="Tahoma"/>
            <family val="2"/>
            <charset val="204"/>
          </rPr>
          <t xml:space="preserve">
Aktivna moknost
na pocetokot (MW)</t>
        </r>
      </text>
    </comment>
    <comment ref="H1" authorId="0" shapeId="0" xr:uid="{00000000-0006-0000-0100-000007000000}">
      <text>
        <r>
          <rPr>
            <b/>
            <sz val="8"/>
            <color indexed="12"/>
            <rFont val="Tahoma"/>
            <family val="2"/>
            <charset val="204"/>
          </rPr>
          <t>R e s e n i e :</t>
        </r>
        <r>
          <rPr>
            <b/>
            <sz val="8"/>
            <color indexed="81"/>
            <rFont val="Tahoma"/>
            <family val="2"/>
            <charset val="204"/>
          </rPr>
          <t xml:space="preserve">
Reaktivna moknost
na pocetokot (Mvar)</t>
        </r>
      </text>
    </comment>
    <comment ref="I1" authorId="0" shapeId="0" xr:uid="{00000000-0006-0000-0100-000008000000}">
      <text>
        <r>
          <rPr>
            <b/>
            <sz val="8"/>
            <color indexed="12"/>
            <rFont val="Tahoma"/>
            <family val="2"/>
            <charset val="204"/>
          </rPr>
          <t>R e s e n i e :</t>
        </r>
        <r>
          <rPr>
            <b/>
            <sz val="8"/>
            <color indexed="81"/>
            <rFont val="Tahoma"/>
            <family val="2"/>
            <charset val="204"/>
          </rPr>
          <t xml:space="preserve">
Aktivna moknost
na krajot (MW)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J1" authorId="0" shapeId="0" xr:uid="{00000000-0006-0000-0100-000009000000}">
      <text>
        <r>
          <rPr>
            <b/>
            <sz val="8"/>
            <color indexed="12"/>
            <rFont val="Tahoma"/>
            <family val="2"/>
            <charset val="204"/>
          </rPr>
          <t>R e s e n i e :</t>
        </r>
        <r>
          <rPr>
            <b/>
            <sz val="8"/>
            <color indexed="81"/>
            <rFont val="Tahoma"/>
            <family val="2"/>
            <charset val="204"/>
          </rPr>
          <t xml:space="preserve">
Reaktivna moknost
na krajot (Mvar)</t>
        </r>
      </text>
    </comment>
    <comment ref="K1" authorId="0" shapeId="0" xr:uid="{00000000-0006-0000-0100-00000A000000}">
      <text>
        <r>
          <rPr>
            <b/>
            <sz val="8"/>
            <color indexed="12"/>
            <rFont val="Tahoma"/>
            <family val="2"/>
            <charset val="204"/>
          </rPr>
          <t>R e s e n i e 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b/>
            <sz val="8"/>
            <color indexed="81"/>
            <rFont val="Tahoma"/>
            <family val="2"/>
            <charset val="204"/>
          </rPr>
          <t>Stepen na optovarenost na grankata (%)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1" authorId="0" shapeId="0" xr:uid="{00000000-0006-0000-0200-000001000000}">
      <text>
        <r>
          <rPr>
            <b/>
            <sz val="8"/>
            <color indexed="81"/>
            <rFont val="Tahoma"/>
            <family val="2"/>
            <charset val="204"/>
          </rPr>
          <t>Ime na jazelot vo koj sto e priklucen izvorot</t>
        </r>
      </text>
    </comment>
    <comment ref="B7" authorId="0" shapeId="0" xr:uid="{00000000-0006-0000-0200-000002000000}">
      <text>
        <r>
          <rPr>
            <b/>
            <sz val="8"/>
            <color indexed="81"/>
            <rFont val="Tahoma"/>
            <family val="2"/>
            <charset val="204"/>
          </rPr>
          <t>Ime na balansniot jazel:</t>
        </r>
      </text>
    </comment>
    <comment ref="C7" authorId="0" shapeId="0" xr:uid="{00000000-0006-0000-0200-000003000000}">
      <text>
        <r>
          <rPr>
            <b/>
            <sz val="8"/>
            <color indexed="81"/>
            <rFont val="Tahoma"/>
            <family val="2"/>
            <charset val="204"/>
          </rPr>
          <t>Proizvodstvo (MW) na balansniot jazel:</t>
        </r>
      </text>
    </comment>
    <comment ref="D7" authorId="0" shapeId="0" xr:uid="{00000000-0006-0000-0200-000004000000}">
      <text>
        <r>
          <rPr>
            <b/>
            <sz val="8"/>
            <color indexed="81"/>
            <rFont val="Tahoma"/>
            <family val="2"/>
            <charset val="204"/>
          </rPr>
          <t>Proizvodstvo (Mvar) na balansniot jazel:</t>
        </r>
      </text>
    </comment>
    <comment ref="B8" authorId="0" shapeId="0" xr:uid="{00000000-0006-0000-0200-000005000000}">
      <text>
        <r>
          <rPr>
            <b/>
            <sz val="8"/>
            <color indexed="81"/>
            <rFont val="Tahoma"/>
            <family val="2"/>
            <charset val="204"/>
          </rPr>
          <t xml:space="preserve">Vkupni zagubi vo sistemot </t>
        </r>
        <r>
          <rPr>
            <b/>
            <sz val="8"/>
            <color indexed="81"/>
            <rFont val="Symbol"/>
            <family val="1"/>
            <charset val="2"/>
          </rPr>
          <t>D</t>
        </r>
        <r>
          <rPr>
            <b/>
            <i/>
            <sz val="8"/>
            <color indexed="81"/>
            <rFont val="Tahoma"/>
            <family val="2"/>
            <charset val="204"/>
          </rPr>
          <t>P</t>
        </r>
        <r>
          <rPr>
            <b/>
            <sz val="8"/>
            <color indexed="81"/>
            <rFont val="Tahoma"/>
            <family val="2"/>
            <charset val="204"/>
          </rPr>
          <t xml:space="preserve"> (MW)  i  </t>
        </r>
        <r>
          <rPr>
            <b/>
            <sz val="8"/>
            <color indexed="81"/>
            <rFont val="Symbol"/>
            <family val="1"/>
            <charset val="2"/>
          </rPr>
          <t>D</t>
        </r>
        <r>
          <rPr>
            <b/>
            <i/>
            <sz val="8"/>
            <color indexed="81"/>
            <rFont val="Tahoma"/>
            <family val="2"/>
            <charset val="204"/>
          </rPr>
          <t>Q</t>
        </r>
        <r>
          <rPr>
            <b/>
            <sz val="8"/>
            <color indexed="81"/>
            <rFont val="Tahoma"/>
            <family val="2"/>
            <charset val="204"/>
          </rPr>
          <t xml:space="preserve"> </t>
        </r>
        <r>
          <rPr>
            <sz val="8"/>
            <color indexed="81"/>
            <rFont val="Arial Rounded MT Bold"/>
            <family val="2"/>
          </rPr>
          <t>(Mvar)</t>
        </r>
      </text>
    </comment>
    <comment ref="C8" authorId="0" shapeId="0" xr:uid="{00000000-0006-0000-0200-000006000000}">
      <text>
        <r>
          <rPr>
            <b/>
            <sz val="8"/>
            <color indexed="81"/>
            <rFont val="Tahoma"/>
            <family val="2"/>
            <charset val="204"/>
          </rPr>
          <t xml:space="preserve">Aktivni zagubi  </t>
        </r>
        <r>
          <rPr>
            <b/>
            <sz val="8"/>
            <color indexed="81"/>
            <rFont val="Symbol"/>
            <family val="1"/>
            <charset val="2"/>
          </rPr>
          <t>D</t>
        </r>
        <r>
          <rPr>
            <b/>
            <i/>
            <sz val="8"/>
            <color indexed="81"/>
            <rFont val="Tahoma"/>
            <family val="2"/>
            <charset val="204"/>
          </rPr>
          <t>P</t>
        </r>
        <r>
          <rPr>
            <b/>
            <sz val="8"/>
            <color indexed="81"/>
            <rFont val="Tahoma"/>
            <family val="2"/>
            <charset val="204"/>
          </rPr>
          <t xml:space="preserve"> (MW)</t>
        </r>
      </text>
    </comment>
    <comment ref="D8" authorId="0" shapeId="0" xr:uid="{00000000-0006-0000-0200-000007000000}">
      <text>
        <r>
          <rPr>
            <b/>
            <sz val="8"/>
            <color indexed="81"/>
            <rFont val="Tahoma"/>
            <family val="2"/>
            <charset val="204"/>
          </rPr>
          <t xml:space="preserve">Reaktivni zagubi  </t>
        </r>
        <r>
          <rPr>
            <b/>
            <sz val="8"/>
            <color indexed="81"/>
            <rFont val="Symbol"/>
            <family val="1"/>
            <charset val="2"/>
          </rPr>
          <t>D</t>
        </r>
        <r>
          <rPr>
            <b/>
            <i/>
            <sz val="8"/>
            <color indexed="81"/>
            <rFont val="Tahoma"/>
            <family val="2"/>
            <charset val="204"/>
          </rPr>
          <t>Q</t>
        </r>
        <r>
          <rPr>
            <b/>
            <sz val="8"/>
            <color indexed="81"/>
            <rFont val="Tahoma"/>
            <family val="2"/>
            <charset val="204"/>
          </rPr>
          <t xml:space="preserve"> (Mvar)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1" authorId="0" shapeId="0" xr:uid="{00000000-0006-0000-0300-000001000000}">
      <text>
        <r>
          <rPr>
            <b/>
            <sz val="8"/>
            <color indexed="81"/>
            <rFont val="Tahoma"/>
            <family val="2"/>
            <charset val="204"/>
          </rPr>
          <t>Ime na jazelot vo koj sto e priklucen izvorot</t>
        </r>
      </text>
    </comment>
  </commentList>
</comments>
</file>

<file path=xl/sharedStrings.xml><?xml version="1.0" encoding="utf-8"?>
<sst xmlns="http://schemas.openxmlformats.org/spreadsheetml/2006/main" count="309" uniqueCount="133">
  <si>
    <t>#</t>
  </si>
  <si>
    <r>
      <t>U</t>
    </r>
    <r>
      <rPr>
        <b/>
        <vertAlign val="subscript"/>
        <sz val="11"/>
        <color indexed="10"/>
        <rFont val="Arial"/>
        <family val="2"/>
        <charset val="204"/>
      </rPr>
      <t>n</t>
    </r>
    <r>
      <rPr>
        <b/>
        <sz val="11"/>
        <color indexed="10"/>
        <rFont val="Arial"/>
        <family val="2"/>
        <charset val="204"/>
      </rPr>
      <t xml:space="preserve"> (kV)</t>
    </r>
  </si>
  <si>
    <r>
      <t>P</t>
    </r>
    <r>
      <rPr>
        <b/>
        <sz val="11"/>
        <color indexed="10"/>
        <rFont val="Arial"/>
        <family val="2"/>
        <charset val="204"/>
      </rPr>
      <t xml:space="preserve"> (MW)</t>
    </r>
  </si>
  <si>
    <r>
      <t>Q</t>
    </r>
    <r>
      <rPr>
        <b/>
        <sz val="11"/>
        <color indexed="10"/>
        <rFont val="Arial"/>
        <family val="2"/>
        <charset val="204"/>
      </rPr>
      <t xml:space="preserve"> (Mvar)</t>
    </r>
  </si>
  <si>
    <r>
      <t>|</t>
    </r>
    <r>
      <rPr>
        <b/>
        <i/>
        <sz val="11"/>
        <color indexed="10"/>
        <rFont val="Arial"/>
        <family val="2"/>
        <charset val="204"/>
      </rPr>
      <t>U</t>
    </r>
    <r>
      <rPr>
        <b/>
        <sz val="11"/>
        <color indexed="10"/>
        <rFont val="Arial"/>
        <family val="2"/>
        <charset val="204"/>
      </rPr>
      <t>|</t>
    </r>
  </si>
  <si>
    <t>q</t>
  </si>
  <si>
    <r>
      <t>U</t>
    </r>
    <r>
      <rPr>
        <b/>
        <i/>
        <vertAlign val="subscript"/>
        <sz val="11"/>
        <color indexed="10"/>
        <rFont val="Arial"/>
        <family val="2"/>
        <charset val="204"/>
      </rPr>
      <t>R</t>
    </r>
  </si>
  <si>
    <r>
      <t>U</t>
    </r>
    <r>
      <rPr>
        <b/>
        <i/>
        <vertAlign val="subscript"/>
        <sz val="11"/>
        <color indexed="10"/>
        <rFont val="Arial"/>
        <family val="2"/>
        <charset val="204"/>
      </rPr>
      <t>X</t>
    </r>
  </si>
  <si>
    <t>Vrutok 110</t>
  </si>
  <si>
    <t>(kV)</t>
  </si>
  <si>
    <r>
      <t xml:space="preserve">( </t>
    </r>
    <r>
      <rPr>
        <b/>
        <vertAlign val="superscript"/>
        <sz val="11"/>
        <color indexed="60"/>
        <rFont val="Arial"/>
        <family val="2"/>
        <charset val="204"/>
      </rPr>
      <t xml:space="preserve">o </t>
    </r>
    <r>
      <rPr>
        <b/>
        <sz val="11"/>
        <color indexed="60"/>
        <rFont val="Arial"/>
        <family val="2"/>
        <charset val="204"/>
      </rPr>
      <t>)</t>
    </r>
  </si>
  <si>
    <t>Polog</t>
  </si>
  <si>
    <t>Tetovo 2</t>
  </si>
  <si>
    <t>Tetovo 1</t>
  </si>
  <si>
    <t>Tearce</t>
  </si>
  <si>
    <t>Jugohrom</t>
  </si>
  <si>
    <t>Gostivar</t>
  </si>
  <si>
    <t>Skopje 1 110</t>
  </si>
  <si>
    <t>V. Glavinov</t>
  </si>
  <si>
    <t>G. Baba</t>
  </si>
  <si>
    <t>TETO Istok</t>
  </si>
  <si>
    <t>G. Petrov</t>
  </si>
  <si>
    <t>Skopje 3</t>
  </si>
  <si>
    <t>HE Kozjak</t>
  </si>
  <si>
    <t>TE Oslomej</t>
  </si>
  <si>
    <t>Samokov</t>
  </si>
  <si>
    <t>Kicevo</t>
  </si>
  <si>
    <t>HE Spilje</t>
  </si>
  <si>
    <t>Име на почетниот јазел</t>
  </si>
  <si>
    <t>Име на крајниот јазел</t>
  </si>
  <si>
    <t>Тип</t>
  </si>
  <si>
    <r>
      <t>P</t>
    </r>
    <r>
      <rPr>
        <b/>
        <vertAlign val="subscript"/>
        <sz val="10"/>
        <color indexed="10"/>
        <rFont val="Arial"/>
        <family val="2"/>
        <charset val="204"/>
      </rPr>
      <t>поч</t>
    </r>
    <r>
      <rPr>
        <b/>
        <sz val="10"/>
        <color indexed="10"/>
        <rFont val="Arial"/>
        <family val="2"/>
        <charset val="204"/>
      </rPr>
      <t xml:space="preserve"> (MW)</t>
    </r>
  </si>
  <si>
    <r>
      <t>Q</t>
    </r>
    <r>
      <rPr>
        <b/>
        <vertAlign val="subscript"/>
        <sz val="10"/>
        <color indexed="10"/>
        <rFont val="Arial"/>
        <family val="2"/>
        <charset val="204"/>
      </rPr>
      <t>поч</t>
    </r>
    <r>
      <rPr>
        <b/>
        <sz val="10"/>
        <color indexed="10"/>
        <rFont val="Arial"/>
        <family val="2"/>
        <charset val="204"/>
      </rPr>
      <t xml:space="preserve"> (Mvar)</t>
    </r>
  </si>
  <si>
    <r>
      <t>P</t>
    </r>
    <r>
      <rPr>
        <b/>
        <vertAlign val="subscript"/>
        <sz val="10"/>
        <color indexed="10"/>
        <rFont val="Arial"/>
        <family val="2"/>
        <charset val="204"/>
      </rPr>
      <t>крај</t>
    </r>
    <r>
      <rPr>
        <b/>
        <sz val="10"/>
        <color indexed="10"/>
        <rFont val="Arial"/>
        <family val="2"/>
        <charset val="204"/>
      </rPr>
      <t xml:space="preserve"> (MW)</t>
    </r>
  </si>
  <si>
    <r>
      <t>Q</t>
    </r>
    <r>
      <rPr>
        <b/>
        <vertAlign val="subscript"/>
        <sz val="10"/>
        <color indexed="10"/>
        <rFont val="Arial"/>
        <family val="2"/>
        <charset val="204"/>
      </rPr>
      <t>крај</t>
    </r>
    <r>
      <rPr>
        <b/>
        <sz val="10"/>
        <color indexed="10"/>
        <rFont val="Arial"/>
        <family val="2"/>
        <charset val="204"/>
      </rPr>
      <t xml:space="preserve"> (Mvar)</t>
    </r>
  </si>
  <si>
    <t>%</t>
  </si>
  <si>
    <t>V102</t>
  </si>
  <si>
    <t xml:space="preserve"> Tetovo 1</t>
  </si>
  <si>
    <t xml:space="preserve"> Tearce</t>
  </si>
  <si>
    <t xml:space="preserve"> Vrutok 110</t>
  </si>
  <si>
    <t xml:space="preserve"> Gostivar</t>
  </si>
  <si>
    <t xml:space="preserve"> TE Oslomej</t>
  </si>
  <si>
    <t xml:space="preserve"> Samokov</t>
  </si>
  <si>
    <t xml:space="preserve"> Jugohrom</t>
  </si>
  <si>
    <t>V123</t>
  </si>
  <si>
    <t>V203</t>
  </si>
  <si>
    <t>TR150</t>
  </si>
  <si>
    <t>TR450</t>
  </si>
  <si>
    <t>Име на јазелот</t>
  </si>
  <si>
    <r>
      <t>U</t>
    </r>
    <r>
      <rPr>
        <b/>
        <i/>
        <vertAlign val="subscript"/>
        <sz val="11"/>
        <color indexed="10"/>
        <rFont val="Arial"/>
        <family val="2"/>
        <charset val="204"/>
      </rPr>
      <t>G</t>
    </r>
    <r>
      <rPr>
        <b/>
        <sz val="11"/>
        <color indexed="10"/>
        <rFont val="Arial"/>
        <family val="2"/>
        <charset val="204"/>
      </rPr>
      <t xml:space="preserve"> (kV)</t>
    </r>
  </si>
  <si>
    <t xml:space="preserve"> TETO Istok</t>
  </si>
  <si>
    <t xml:space="preserve"> HE Kozjak</t>
  </si>
  <si>
    <t xml:space="preserve"> HE Spilje</t>
  </si>
  <si>
    <t>VRUTOK 110</t>
  </si>
  <si>
    <t>Zagubi</t>
  </si>
  <si>
    <t>Naziv</t>
  </si>
  <si>
    <t xml:space="preserve"> O p i s</t>
  </si>
  <si>
    <t>V101</t>
  </si>
  <si>
    <t>AlFe150/25</t>
  </si>
  <si>
    <t>AlFe240/40</t>
  </si>
  <si>
    <t>V102s</t>
  </si>
  <si>
    <t>(2xAlFe240/40)</t>
  </si>
  <si>
    <t>V103</t>
  </si>
  <si>
    <t>AlFe360/57</t>
  </si>
  <si>
    <t>V104</t>
  </si>
  <si>
    <t>AlFe490/65</t>
  </si>
  <si>
    <t>V122</t>
  </si>
  <si>
    <t>2xAlFe240/40-double</t>
  </si>
  <si>
    <t>V122e</t>
  </si>
  <si>
    <t>2xAlFe240/40-single</t>
  </si>
  <si>
    <t>2xAlFe360/57-double</t>
  </si>
  <si>
    <t>V204</t>
  </si>
  <si>
    <t>V111</t>
  </si>
  <si>
    <t>AlFe150/25;Dm=4.5m</t>
  </si>
  <si>
    <t>V112</t>
  </si>
  <si>
    <t>AlFe240/40;Dm=4.5m</t>
  </si>
  <si>
    <t>AlFe 25/4</t>
  </si>
  <si>
    <t>AlFe25/4</t>
  </si>
  <si>
    <t>AlFe 35/6</t>
  </si>
  <si>
    <t>AlFe35/6</t>
  </si>
  <si>
    <t>AlFe 50/8</t>
  </si>
  <si>
    <t>AlFe50/8</t>
  </si>
  <si>
    <t>Cu 16</t>
  </si>
  <si>
    <t>Cu16</t>
  </si>
  <si>
    <t>Cu 25</t>
  </si>
  <si>
    <t>Cu25</t>
  </si>
  <si>
    <t>IPO 13A 3x150</t>
  </si>
  <si>
    <t>IPOkabel</t>
  </si>
  <si>
    <t>V</t>
  </si>
  <si>
    <t>U1n</t>
  </si>
  <si>
    <t>U2n</t>
  </si>
  <si>
    <t>Sn</t>
  </si>
  <si>
    <t>uk%</t>
  </si>
  <si>
    <t>i0%</t>
  </si>
  <si>
    <t>T1</t>
  </si>
  <si>
    <t>T2</t>
  </si>
  <si>
    <t>T3</t>
  </si>
  <si>
    <t>T4</t>
  </si>
  <si>
    <t>T5</t>
  </si>
  <si>
    <t>TT1</t>
  </si>
  <si>
    <t>TT2</t>
  </si>
  <si>
    <t>TT3</t>
  </si>
  <si>
    <t>TT4</t>
  </si>
  <si>
    <t>TT5</t>
  </si>
  <si>
    <t>TD50</t>
  </si>
  <si>
    <t>TD100</t>
  </si>
  <si>
    <t>TD160</t>
  </si>
  <si>
    <t>TD250</t>
  </si>
  <si>
    <t>TD400</t>
  </si>
  <si>
    <t>TD630</t>
  </si>
  <si>
    <t>TR8000</t>
  </si>
  <si>
    <t>TR100</t>
  </si>
  <si>
    <t>T33</t>
  </si>
  <si>
    <r>
      <t>U</t>
    </r>
    <r>
      <rPr>
        <b/>
        <i/>
        <vertAlign val="subscript"/>
        <sz val="11"/>
        <color indexed="10"/>
        <rFont val="Arial"/>
        <family val="2"/>
        <charset val="204"/>
      </rPr>
      <t>n</t>
    </r>
    <r>
      <rPr>
        <b/>
        <sz val="11"/>
        <color indexed="10"/>
        <rFont val="Arial"/>
        <family val="2"/>
        <charset val="204"/>
      </rPr>
      <t xml:space="preserve"> (kV)</t>
    </r>
  </si>
  <si>
    <r>
      <t>r</t>
    </r>
    <r>
      <rPr>
        <b/>
        <sz val="11"/>
        <color indexed="10"/>
        <rFont val="Arial"/>
        <family val="2"/>
        <charset val="204"/>
      </rPr>
      <t xml:space="preserve"> (</t>
    </r>
    <r>
      <rPr>
        <b/>
        <sz val="11"/>
        <color indexed="10"/>
        <rFont val="Symbol"/>
        <family val="1"/>
        <charset val="2"/>
      </rPr>
      <t>W</t>
    </r>
    <r>
      <rPr>
        <b/>
        <sz val="11"/>
        <color indexed="10"/>
        <rFont val="Arial"/>
        <family val="2"/>
        <charset val="204"/>
      </rPr>
      <t>/km)</t>
    </r>
  </si>
  <si>
    <r>
      <t>x</t>
    </r>
    <r>
      <rPr>
        <b/>
        <sz val="11"/>
        <color indexed="10"/>
        <rFont val="Arial"/>
        <family val="2"/>
        <charset val="204"/>
      </rPr>
      <t xml:space="preserve"> (</t>
    </r>
    <r>
      <rPr>
        <b/>
        <sz val="11"/>
        <color indexed="10"/>
        <rFont val="Symbol"/>
        <family val="1"/>
        <charset val="2"/>
      </rPr>
      <t>W</t>
    </r>
    <r>
      <rPr>
        <b/>
        <sz val="11"/>
        <color indexed="10"/>
        <rFont val="Arial"/>
        <family val="2"/>
        <charset val="204"/>
      </rPr>
      <t>/km)</t>
    </r>
  </si>
  <si>
    <r>
      <t>b</t>
    </r>
    <r>
      <rPr>
        <b/>
        <sz val="11"/>
        <color indexed="10"/>
        <rFont val="Arial"/>
        <family val="2"/>
        <charset val="204"/>
      </rPr>
      <t xml:space="preserve"> (</t>
    </r>
    <r>
      <rPr>
        <b/>
        <sz val="11"/>
        <color indexed="10"/>
        <rFont val="Symbol"/>
        <family val="1"/>
        <charset val="2"/>
      </rPr>
      <t>m</t>
    </r>
    <r>
      <rPr>
        <b/>
        <sz val="11"/>
        <color indexed="10"/>
        <rFont val="Arial"/>
        <family val="2"/>
        <charset val="204"/>
      </rPr>
      <t>S/km)</t>
    </r>
  </si>
  <si>
    <r>
      <t>I</t>
    </r>
    <r>
      <rPr>
        <b/>
        <i/>
        <vertAlign val="subscript"/>
        <sz val="11"/>
        <color indexed="10"/>
        <rFont val="Arial"/>
        <family val="2"/>
        <charset val="204"/>
      </rPr>
      <t>d</t>
    </r>
    <r>
      <rPr>
        <b/>
        <sz val="11"/>
        <color indexed="10"/>
        <rFont val="Arial"/>
        <family val="2"/>
        <charset val="204"/>
      </rPr>
      <t xml:space="preserve"> (A)</t>
    </r>
  </si>
  <si>
    <r>
      <t>D</t>
    </r>
    <r>
      <rPr>
        <b/>
        <sz val="11"/>
        <color indexed="10"/>
        <rFont val="Arial"/>
        <family val="2"/>
        <charset val="204"/>
      </rPr>
      <t>PCUn</t>
    </r>
  </si>
  <si>
    <r>
      <t>D</t>
    </r>
    <r>
      <rPr>
        <b/>
        <sz val="11"/>
        <color indexed="10"/>
        <rFont val="Arial"/>
        <family val="2"/>
        <charset val="204"/>
      </rPr>
      <t>PFe</t>
    </r>
  </si>
  <si>
    <t>Име</t>
  </si>
  <si>
    <t>it</t>
  </si>
  <si>
    <r>
      <t>Q</t>
    </r>
    <r>
      <rPr>
        <b/>
        <i/>
        <vertAlign val="subscript"/>
        <sz val="11"/>
        <color indexed="10"/>
        <rFont val="Arial"/>
        <family val="2"/>
        <charset val="204"/>
      </rPr>
      <t>Gmax</t>
    </r>
    <r>
      <rPr>
        <b/>
        <sz val="11"/>
        <color indexed="10"/>
        <rFont val="Arial"/>
        <family val="2"/>
        <charset val="204"/>
      </rPr>
      <t xml:space="preserve"> (Mvar)</t>
    </r>
  </si>
  <si>
    <r>
      <t>Q</t>
    </r>
    <r>
      <rPr>
        <b/>
        <i/>
        <vertAlign val="subscript"/>
        <sz val="11"/>
        <color indexed="10"/>
        <rFont val="Arial"/>
        <family val="2"/>
        <charset val="204"/>
      </rPr>
      <t>Gmin</t>
    </r>
    <r>
      <rPr>
        <b/>
        <sz val="11"/>
        <color indexed="10"/>
        <rFont val="Arial"/>
        <family val="2"/>
        <charset val="204"/>
      </rPr>
      <t xml:space="preserve"> (Mvar)</t>
    </r>
  </si>
  <si>
    <r>
      <t>Q</t>
    </r>
    <r>
      <rPr>
        <b/>
        <i/>
        <vertAlign val="subscript"/>
        <sz val="11"/>
        <color indexed="10"/>
        <rFont val="Arial"/>
        <family val="2"/>
        <charset val="204"/>
      </rPr>
      <t>G</t>
    </r>
    <r>
      <rPr>
        <b/>
        <sz val="11"/>
        <color indexed="10"/>
        <rFont val="Arial"/>
        <family val="2"/>
        <charset val="204"/>
      </rPr>
      <t>(MW)</t>
    </r>
  </si>
  <si>
    <r>
      <t>P</t>
    </r>
    <r>
      <rPr>
        <b/>
        <i/>
        <vertAlign val="subscript"/>
        <sz val="11"/>
        <color indexed="10"/>
        <rFont val="Arial"/>
        <family val="2"/>
        <charset val="204"/>
      </rPr>
      <t>G</t>
    </r>
    <r>
      <rPr>
        <b/>
        <sz val="11"/>
        <color indexed="10"/>
        <rFont val="Arial"/>
        <family val="2"/>
        <charset val="204"/>
      </rPr>
      <t xml:space="preserve"> (MW)</t>
    </r>
  </si>
  <si>
    <r>
      <t>Q</t>
    </r>
    <r>
      <rPr>
        <b/>
        <i/>
        <vertAlign val="subscript"/>
        <sz val="11"/>
        <color indexed="10"/>
        <rFont val="Arial"/>
        <family val="2"/>
        <charset val="204"/>
      </rPr>
      <t>Gpresm</t>
    </r>
    <r>
      <rPr>
        <b/>
        <sz val="11"/>
        <color indexed="10"/>
        <rFont val="Arial"/>
        <family val="2"/>
        <charset val="204"/>
      </rPr>
      <t xml:space="preserve"> (Mvar)</t>
    </r>
  </si>
  <si>
    <r>
      <t>U</t>
    </r>
    <r>
      <rPr>
        <b/>
        <i/>
        <vertAlign val="subscript"/>
        <sz val="11"/>
        <color indexed="10"/>
        <rFont val="Arial"/>
        <family val="2"/>
        <charset val="204"/>
      </rPr>
      <t>presm</t>
    </r>
    <r>
      <rPr>
        <b/>
        <sz val="11"/>
        <color indexed="10"/>
        <rFont val="Arial"/>
        <family val="2"/>
        <charset val="204"/>
      </rPr>
      <t xml:space="preserve"> (kV)</t>
    </r>
  </si>
  <si>
    <r>
      <t>Q</t>
    </r>
    <r>
      <rPr>
        <b/>
        <i/>
        <vertAlign val="subscript"/>
        <sz val="11"/>
        <color indexed="10"/>
        <rFont val="Arial"/>
        <family val="2"/>
        <charset val="204"/>
      </rPr>
      <t>cn</t>
    </r>
    <r>
      <rPr>
        <b/>
        <sz val="11"/>
        <color indexed="10"/>
        <rFont val="Arial"/>
        <family val="2"/>
        <charset val="204"/>
      </rPr>
      <t xml:space="preserve"> (Mvar)</t>
    </r>
  </si>
  <si>
    <r>
      <t>Q</t>
    </r>
    <r>
      <rPr>
        <b/>
        <i/>
        <vertAlign val="subscript"/>
        <sz val="11"/>
        <color indexed="10"/>
        <rFont val="Arial"/>
        <family val="2"/>
        <charset val="204"/>
      </rPr>
      <t>Cpresm</t>
    </r>
    <r>
      <rPr>
        <b/>
        <sz val="11"/>
        <color indexed="10"/>
        <rFont val="Arial"/>
        <family val="2"/>
        <charset val="204"/>
      </rPr>
      <t xml:space="preserve"> (Mvar)</t>
    </r>
  </si>
  <si>
    <t>Vrutok 220</t>
  </si>
  <si>
    <t>Skopje 1 220</t>
  </si>
  <si>
    <r>
      <t>L</t>
    </r>
    <r>
      <rPr>
        <sz val="10"/>
        <color indexed="10"/>
        <rFont val="Arial"/>
        <family val="2"/>
        <charset val="204"/>
      </rPr>
      <t xml:space="preserve"> или </t>
    </r>
    <r>
      <rPr>
        <sz val="10"/>
        <color indexed="10"/>
        <rFont val="Calibri"/>
        <family val="2"/>
      </rPr>
      <t>α</t>
    </r>
    <r>
      <rPr>
        <sz val="10"/>
        <color indexed="10"/>
        <rFont val="Arial"/>
        <family val="2"/>
        <charset val="204"/>
      </rPr>
      <t>(%)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</si>
</sst>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54">
    <font>
      <sz val="11"/>
      <color theme="1"/>
      <name val="Calibri"/>
      <family val="2"/>
      <scheme val="minor"/>
    </font>
    <font>
      <b/>
      <sz val="11"/>
      <color indexed="10"/>
      <name val="Arial"/>
      <family val="2"/>
      <charset val="204"/>
    </font>
    <font>
      <b/>
      <sz val="11"/>
      <color indexed="10"/>
      <name val="MAC C Swiss"/>
      <family val="2"/>
    </font>
    <font>
      <b/>
      <i/>
      <sz val="11"/>
      <color indexed="10"/>
      <name val="Arial"/>
      <family val="2"/>
      <charset val="204"/>
    </font>
    <font>
      <b/>
      <vertAlign val="subscript"/>
      <sz val="11"/>
      <color indexed="10"/>
      <name val="Arial"/>
      <family val="2"/>
      <charset val="204"/>
    </font>
    <font>
      <sz val="11"/>
      <name val="Arial"/>
      <family val="2"/>
      <charset val="204"/>
    </font>
    <font>
      <b/>
      <i/>
      <sz val="11"/>
      <color indexed="10"/>
      <name val="Symbol"/>
      <family val="1"/>
      <charset val="2"/>
    </font>
    <font>
      <b/>
      <i/>
      <vertAlign val="subscript"/>
      <sz val="11"/>
      <color indexed="10"/>
      <name val="Arial"/>
      <family val="2"/>
      <charset val="204"/>
    </font>
    <font>
      <b/>
      <sz val="11"/>
      <color indexed="12"/>
      <name val="Arial"/>
      <family val="2"/>
      <charset val="204"/>
    </font>
    <font>
      <b/>
      <sz val="10"/>
      <name val="Arial Rounded MT Bold"/>
      <family val="2"/>
    </font>
    <font>
      <sz val="11"/>
      <color indexed="12"/>
      <name val="Arial"/>
      <family val="2"/>
      <charset val="204"/>
    </font>
    <font>
      <b/>
      <sz val="11"/>
      <color indexed="60"/>
      <name val="Arial"/>
      <family val="2"/>
      <charset val="204"/>
    </font>
    <font>
      <b/>
      <vertAlign val="superscript"/>
      <sz val="11"/>
      <color indexed="60"/>
      <name val="Arial"/>
      <family val="2"/>
      <charset val="204"/>
    </font>
    <font>
      <i/>
      <sz val="11"/>
      <name val="Arial"/>
      <family val="2"/>
      <charset val="204"/>
    </font>
    <font>
      <b/>
      <sz val="11"/>
      <name val="Arial"/>
      <family val="2"/>
      <charset val="204"/>
    </font>
    <font>
      <b/>
      <sz val="10"/>
      <name val="Symbol"/>
      <family val="1"/>
      <charset val="2"/>
    </font>
    <font>
      <sz val="10"/>
      <name val="Arial Rounded MT Bold"/>
      <family val="2"/>
    </font>
    <font>
      <sz val="10"/>
      <color indexed="10"/>
      <name val="Arial Rounded MT Bold"/>
      <family val="2"/>
    </font>
    <font>
      <sz val="10"/>
      <color indexed="18"/>
      <name val="Arial Rounded MT Bold"/>
      <family val="2"/>
    </font>
    <font>
      <sz val="10"/>
      <name val="Symbol"/>
      <family val="1"/>
      <charset val="2"/>
    </font>
    <font>
      <sz val="11"/>
      <color indexed="10"/>
      <name val="Arial"/>
      <family val="2"/>
      <charset val="204"/>
    </font>
    <font>
      <sz val="11"/>
      <color indexed="18"/>
      <name val="Arial"/>
      <family val="2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8"/>
      <color indexed="12"/>
      <name val="Tahoma"/>
      <family val="2"/>
      <charset val="204"/>
    </font>
    <font>
      <sz val="11"/>
      <color indexed="81"/>
      <name val="M_Swiss"/>
      <family val="2"/>
    </font>
    <font>
      <b/>
      <sz val="11"/>
      <color indexed="81"/>
      <name val="Tahoma"/>
      <family val="2"/>
      <charset val="204"/>
    </font>
    <font>
      <b/>
      <i/>
      <sz val="11"/>
      <color indexed="81"/>
      <name val="Times New Roman"/>
      <family val="1"/>
      <charset val="204"/>
    </font>
    <font>
      <b/>
      <i/>
      <sz val="8"/>
      <color indexed="81"/>
      <name val="Times New Roman"/>
      <family val="1"/>
      <charset val="204"/>
    </font>
    <font>
      <sz val="11"/>
      <color indexed="81"/>
      <name val="Times New Roman"/>
      <family val="1"/>
      <charset val="204"/>
    </font>
    <font>
      <i/>
      <sz val="8"/>
      <color indexed="81"/>
      <name val="Symbol"/>
      <family val="1"/>
      <charset val="2"/>
    </font>
    <font>
      <sz val="10"/>
      <color indexed="81"/>
      <name val="M_Swiss"/>
      <family val="2"/>
    </font>
    <font>
      <i/>
      <sz val="8"/>
      <color indexed="81"/>
      <name val="Tahoma"/>
      <family val="2"/>
      <charset val="204"/>
    </font>
    <font>
      <b/>
      <i/>
      <sz val="11"/>
      <color indexed="81"/>
      <name val="Tahoma"/>
      <family val="2"/>
      <charset val="204"/>
    </font>
    <font>
      <b/>
      <sz val="10"/>
      <color indexed="10"/>
      <name val="Arial"/>
      <family val="2"/>
      <charset val="204"/>
    </font>
    <font>
      <i/>
      <sz val="10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name val="Arial"/>
      <family val="2"/>
      <charset val="204"/>
    </font>
    <font>
      <b/>
      <i/>
      <sz val="10"/>
      <color indexed="10"/>
      <name val="Arial"/>
      <family val="2"/>
      <charset val="204"/>
    </font>
    <font>
      <b/>
      <vertAlign val="subscript"/>
      <sz val="10"/>
      <color indexed="10"/>
      <name val="Arial"/>
      <family val="2"/>
      <charset val="204"/>
    </font>
    <font>
      <sz val="11"/>
      <color indexed="8"/>
      <name val="Arial"/>
      <family val="2"/>
    </font>
    <font>
      <sz val="10"/>
      <color indexed="8"/>
      <name val="Arial Rounded MT Bold"/>
      <family val="2"/>
    </font>
    <font>
      <i/>
      <sz val="11"/>
      <color indexed="10"/>
      <name val="Arial"/>
      <family val="2"/>
      <charset val="204"/>
    </font>
    <font>
      <b/>
      <sz val="8"/>
      <color indexed="81"/>
      <name val="Symbol"/>
      <family val="1"/>
      <charset val="2"/>
    </font>
    <font>
      <b/>
      <sz val="10"/>
      <color indexed="14"/>
      <name val="Arial Rounded MT Bold"/>
      <family val="2"/>
    </font>
    <font>
      <b/>
      <i/>
      <sz val="8"/>
      <color indexed="81"/>
      <name val="Tahoma"/>
      <family val="2"/>
      <charset val="204"/>
    </font>
    <font>
      <sz val="8"/>
      <color indexed="81"/>
      <name val="Arial Rounded MT Bold"/>
      <family val="2"/>
    </font>
    <font>
      <b/>
      <sz val="11"/>
      <color indexed="10"/>
      <name val="MAC C Times"/>
      <family val="1"/>
    </font>
    <font>
      <sz val="11"/>
      <name val="Times New Roman"/>
      <family val="1"/>
      <charset val="204"/>
    </font>
    <font>
      <b/>
      <sz val="11"/>
      <color indexed="10"/>
      <name val="Symbol"/>
      <family val="1"/>
      <charset val="2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</font>
    <font>
      <b/>
      <i/>
      <sz val="11"/>
      <color indexed="81"/>
      <name val="Arial"/>
      <family val="2"/>
      <charset val="204"/>
    </font>
    <font>
      <sz val="10"/>
      <color indexed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 applyAlignment="1">
      <alignment horizontal="right" inden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NumberFormat="1" applyFont="1" applyAlignment="1">
      <alignment horizontal="center"/>
    </xf>
    <xf numFmtId="0" fontId="5" fillId="0" borderId="0" xfId="0" applyFont="1"/>
    <xf numFmtId="2" fontId="1" fillId="0" borderId="0" xfId="0" applyNumberFormat="1" applyFont="1" applyAlignment="1">
      <alignment horizontal="center"/>
    </xf>
    <xf numFmtId="2" fontId="6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right" indent="1"/>
    </xf>
    <xf numFmtId="0" fontId="8" fillId="0" borderId="0" xfId="0" applyFont="1"/>
    <xf numFmtId="0" fontId="8" fillId="0" borderId="0" xfId="0" applyFont="1" applyAlignment="1">
      <alignment horizontal="right" indent="1"/>
    </xf>
    <xf numFmtId="2" fontId="9" fillId="0" borderId="0" xfId="0" applyNumberFormat="1" applyFont="1"/>
    <xf numFmtId="0" fontId="10" fillId="0" borderId="0" xfId="0" applyNumberFormat="1" applyFont="1" applyAlignment="1">
      <alignment horizontal="center"/>
    </xf>
    <xf numFmtId="2" fontId="11" fillId="0" borderId="0" xfId="0" applyNumberFormat="1" applyFont="1" applyAlignment="1">
      <alignment horizontal="center"/>
    </xf>
    <xf numFmtId="164" fontId="11" fillId="0" borderId="0" xfId="0" applyNumberFormat="1" applyFont="1" applyAlignment="1">
      <alignment horizontal="center"/>
    </xf>
    <xf numFmtId="0" fontId="5" fillId="0" borderId="0" xfId="0" applyFont="1" applyAlignment="1">
      <alignment horizontal="right" indent="1"/>
    </xf>
    <xf numFmtId="0" fontId="13" fillId="0" borderId="0" xfId="0" applyFont="1"/>
    <xf numFmtId="2" fontId="5" fillId="0" borderId="0" xfId="0" applyNumberFormat="1" applyFont="1" applyAlignment="1">
      <alignment horizontal="right"/>
    </xf>
    <xf numFmtId="0" fontId="5" fillId="0" borderId="0" xfId="0" applyNumberFormat="1" applyFont="1" applyAlignment="1">
      <alignment horizontal="center"/>
    </xf>
    <xf numFmtId="164" fontId="14" fillId="0" borderId="0" xfId="0" applyNumberFormat="1" applyFont="1"/>
    <xf numFmtId="164" fontId="15" fillId="0" borderId="0" xfId="0" applyNumberFormat="1" applyFont="1"/>
    <xf numFmtId="164" fontId="16" fillId="0" borderId="0" xfId="0" applyNumberFormat="1" applyFont="1"/>
    <xf numFmtId="164" fontId="5" fillId="0" borderId="0" xfId="0" applyNumberFormat="1" applyFont="1"/>
    <xf numFmtId="164" fontId="17" fillId="0" borderId="0" xfId="0" applyNumberFormat="1" applyFont="1"/>
    <xf numFmtId="164" fontId="18" fillId="0" borderId="0" xfId="0" applyNumberFormat="1" applyFont="1"/>
    <xf numFmtId="164" fontId="19" fillId="0" borderId="0" xfId="0" applyNumberFormat="1" applyFont="1"/>
    <xf numFmtId="2" fontId="16" fillId="0" borderId="0" xfId="0" applyNumberFormat="1" applyFont="1" applyAlignment="1">
      <alignment horizontal="right"/>
    </xf>
    <xf numFmtId="0" fontId="17" fillId="0" borderId="0" xfId="0" applyFont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65" fontId="37" fillId="0" borderId="0" xfId="0" applyNumberFormat="1" applyFont="1" applyAlignment="1">
      <alignment horizontal="center" vertical="center"/>
    </xf>
    <xf numFmtId="2" fontId="5" fillId="0" borderId="0" xfId="0" applyNumberFormat="1" applyFont="1"/>
    <xf numFmtId="164" fontId="40" fillId="0" borderId="0" xfId="0" applyNumberFormat="1" applyFont="1" applyAlignment="1">
      <alignment horizontal="right"/>
    </xf>
    <xf numFmtId="165" fontId="41" fillId="0" borderId="0" xfId="0" applyNumberFormat="1" applyFont="1" applyAlignment="1">
      <alignment horizontal="right" indent="1"/>
    </xf>
    <xf numFmtId="0" fontId="42" fillId="0" borderId="0" xfId="0" applyFont="1" applyAlignment="1">
      <alignment horizontal="center"/>
    </xf>
    <xf numFmtId="0" fontId="44" fillId="0" borderId="0" xfId="0" applyFont="1"/>
    <xf numFmtId="0" fontId="47" fillId="0" borderId="0" xfId="0" applyFont="1" applyAlignment="1">
      <alignment horizontal="center"/>
    </xf>
    <xf numFmtId="164" fontId="48" fillId="0" borderId="0" xfId="0" applyNumberFormat="1" applyFont="1" applyAlignment="1">
      <alignment horizontal="right" indent="1"/>
    </xf>
    <xf numFmtId="1" fontId="48" fillId="0" borderId="0" xfId="0" applyNumberFormat="1" applyFont="1" applyAlignment="1">
      <alignment horizontal="right" indent="1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Font="1"/>
    <xf numFmtId="0" fontId="5" fillId="0" borderId="0" xfId="0" applyFont="1" applyAlignment="1">
      <alignment horizontal="left" indent="1"/>
    </xf>
    <xf numFmtId="0" fontId="49" fillId="0" borderId="0" xfId="0" applyFont="1" applyAlignment="1">
      <alignment horizontal="center"/>
    </xf>
    <xf numFmtId="165" fontId="48" fillId="0" borderId="0" xfId="0" applyNumberFormat="1" applyFont="1" applyAlignment="1">
      <alignment horizontal="right" indent="1"/>
    </xf>
    <xf numFmtId="0" fontId="50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2" fontId="3" fillId="0" borderId="0" xfId="0" applyNumberFormat="1" applyFont="1" applyAlignment="1">
      <alignment horizontal="center"/>
    </xf>
    <xf numFmtId="11" fontId="0" fillId="0" borderId="0" xfId="0" applyNumberFormat="1"/>
    <xf numFmtId="0" fontId="38" fillId="0" borderId="0" xfId="0" applyNumberFormat="1" applyFont="1" applyAlignment="1">
      <alignment horizontal="center" vertical="center"/>
    </xf>
    <xf numFmtId="0" fontId="0" fillId="0" borderId="0" xfId="0" applyNumberFormat="1"/>
    <xf numFmtId="2" fontId="0" fillId="0" borderId="0" xfId="0" applyNumberFormat="1"/>
    <xf numFmtId="2" fontId="16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260350</xdr:colOff>
          <xdr:row>0</xdr:row>
          <xdr:rowOff>152400</xdr:rowOff>
        </xdr:from>
        <xdr:to>
          <xdr:col>17</xdr:col>
          <xdr:colOff>273050</xdr:colOff>
          <xdr:row>2</xdr:row>
          <xdr:rowOff>146050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Пресметај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133350</xdr:colOff>
      <xdr:row>0</xdr:row>
      <xdr:rowOff>85725</xdr:rowOff>
    </xdr:from>
    <xdr:to>
      <xdr:col>29</xdr:col>
      <xdr:colOff>228600</xdr:colOff>
      <xdr:row>26</xdr:row>
      <xdr:rowOff>27454</xdr:rowOff>
    </xdr:to>
    <xdr:pic>
      <xdr:nvPicPr>
        <xdr:cNvPr id="2" name="Picture 11" descr="SZL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792200" y="85725"/>
          <a:ext cx="7410450" cy="5066179"/>
        </a:xfrm>
        <a:prstGeom prst="rect">
          <a:avLst/>
        </a:prstGeom>
        <a:solidFill>
          <a:srgbClr val="CCFFFF"/>
        </a:solidFill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77"/>
  <sheetViews>
    <sheetView zoomScale="110" zoomScaleNormal="110" workbookViewId="0">
      <selection activeCell="B3" sqref="B3"/>
    </sheetView>
  </sheetViews>
  <sheetFormatPr defaultRowHeight="14"/>
  <cols>
    <col min="1" max="1" width="6.6328125" style="5" customWidth="1"/>
    <col min="2" max="2" width="17.26953125" style="5" customWidth="1"/>
    <col min="3" max="3" width="10.08984375" style="5" bestFit="1" customWidth="1"/>
    <col min="4" max="4" width="9.08984375" style="5"/>
    <col min="5" max="5" width="10.453125" style="5" bestFit="1" customWidth="1"/>
    <col min="6" max="7" width="3.26953125" style="5" customWidth="1"/>
    <col min="8" max="9" width="3.36328125" style="19" bestFit="1" customWidth="1"/>
    <col min="10" max="10" width="3.90625" style="5" customWidth="1"/>
    <col min="11" max="11" width="9.08984375" style="20"/>
    <col min="12" max="12" width="9.08984375" style="23"/>
    <col min="13" max="13" width="9.08984375" style="30"/>
    <col min="14" max="14" width="9.08984375" style="31"/>
    <col min="15" max="250" width="9.08984375" style="5"/>
    <col min="251" max="251" width="6.6328125" style="5" customWidth="1"/>
    <col min="252" max="252" width="22.90625" style="5" bestFit="1" customWidth="1"/>
    <col min="253" max="253" width="10.08984375" style="5" bestFit="1" customWidth="1"/>
    <col min="254" max="254" width="9.08984375" style="5"/>
    <col min="255" max="255" width="10.453125" style="5" bestFit="1" customWidth="1"/>
    <col min="256" max="256" width="3.90625" style="5" customWidth="1"/>
    <col min="257" max="257" width="3.08984375" style="5" customWidth="1"/>
    <col min="258" max="259" width="3.36328125" style="5" bestFit="1" customWidth="1"/>
    <col min="260" max="260" width="2.90625" style="5" customWidth="1"/>
    <col min="261" max="506" width="9.08984375" style="5"/>
    <col min="507" max="507" width="6.6328125" style="5" customWidth="1"/>
    <col min="508" max="508" width="22.90625" style="5" bestFit="1" customWidth="1"/>
    <col min="509" max="509" width="10.08984375" style="5" bestFit="1" customWidth="1"/>
    <col min="510" max="510" width="9.08984375" style="5"/>
    <col min="511" max="511" width="10.453125" style="5" bestFit="1" customWidth="1"/>
    <col min="512" max="512" width="3.90625" style="5" customWidth="1"/>
    <col min="513" max="513" width="3.08984375" style="5" customWidth="1"/>
    <col min="514" max="515" width="3.36328125" style="5" bestFit="1" customWidth="1"/>
    <col min="516" max="516" width="2.90625" style="5" customWidth="1"/>
    <col min="517" max="762" width="9.08984375" style="5"/>
    <col min="763" max="763" width="6.6328125" style="5" customWidth="1"/>
    <col min="764" max="764" width="22.90625" style="5" bestFit="1" customWidth="1"/>
    <col min="765" max="765" width="10.08984375" style="5" bestFit="1" customWidth="1"/>
    <col min="766" max="766" width="9.08984375" style="5"/>
    <col min="767" max="767" width="10.453125" style="5" bestFit="1" customWidth="1"/>
    <col min="768" max="768" width="3.90625" style="5" customWidth="1"/>
    <col min="769" max="769" width="3.08984375" style="5" customWidth="1"/>
    <col min="770" max="771" width="3.36328125" style="5" bestFit="1" customWidth="1"/>
    <col min="772" max="772" width="2.90625" style="5" customWidth="1"/>
    <col min="773" max="1018" width="9.08984375" style="5"/>
    <col min="1019" max="1019" width="6.6328125" style="5" customWidth="1"/>
    <col min="1020" max="1020" width="22.90625" style="5" bestFit="1" customWidth="1"/>
    <col min="1021" max="1021" width="10.08984375" style="5" bestFit="1" customWidth="1"/>
    <col min="1022" max="1022" width="9.08984375" style="5"/>
    <col min="1023" max="1023" width="10.453125" style="5" bestFit="1" customWidth="1"/>
    <col min="1024" max="1024" width="3.90625" style="5" customWidth="1"/>
    <col min="1025" max="1025" width="3.08984375" style="5" customWidth="1"/>
    <col min="1026" max="1027" width="3.36328125" style="5" bestFit="1" customWidth="1"/>
    <col min="1028" max="1028" width="2.90625" style="5" customWidth="1"/>
    <col min="1029" max="1274" width="9.08984375" style="5"/>
    <col min="1275" max="1275" width="6.6328125" style="5" customWidth="1"/>
    <col min="1276" max="1276" width="22.90625" style="5" bestFit="1" customWidth="1"/>
    <col min="1277" max="1277" width="10.08984375" style="5" bestFit="1" customWidth="1"/>
    <col min="1278" max="1278" width="9.08984375" style="5"/>
    <col min="1279" max="1279" width="10.453125" style="5" bestFit="1" customWidth="1"/>
    <col min="1280" max="1280" width="3.90625" style="5" customWidth="1"/>
    <col min="1281" max="1281" width="3.08984375" style="5" customWidth="1"/>
    <col min="1282" max="1283" width="3.36328125" style="5" bestFit="1" customWidth="1"/>
    <col min="1284" max="1284" width="2.90625" style="5" customWidth="1"/>
    <col min="1285" max="1530" width="9.08984375" style="5"/>
    <col min="1531" max="1531" width="6.6328125" style="5" customWidth="1"/>
    <col min="1532" max="1532" width="22.90625" style="5" bestFit="1" customWidth="1"/>
    <col min="1533" max="1533" width="10.08984375" style="5" bestFit="1" customWidth="1"/>
    <col min="1534" max="1534" width="9.08984375" style="5"/>
    <col min="1535" max="1535" width="10.453125" style="5" bestFit="1" customWidth="1"/>
    <col min="1536" max="1536" width="3.90625" style="5" customWidth="1"/>
    <col min="1537" max="1537" width="3.08984375" style="5" customWidth="1"/>
    <col min="1538" max="1539" width="3.36328125" style="5" bestFit="1" customWidth="1"/>
    <col min="1540" max="1540" width="2.90625" style="5" customWidth="1"/>
    <col min="1541" max="1786" width="9.08984375" style="5"/>
    <col min="1787" max="1787" width="6.6328125" style="5" customWidth="1"/>
    <col min="1788" max="1788" width="22.90625" style="5" bestFit="1" customWidth="1"/>
    <col min="1789" max="1789" width="10.08984375" style="5" bestFit="1" customWidth="1"/>
    <col min="1790" max="1790" width="9.08984375" style="5"/>
    <col min="1791" max="1791" width="10.453125" style="5" bestFit="1" customWidth="1"/>
    <col min="1792" max="1792" width="3.90625" style="5" customWidth="1"/>
    <col min="1793" max="1793" width="3.08984375" style="5" customWidth="1"/>
    <col min="1794" max="1795" width="3.36328125" style="5" bestFit="1" customWidth="1"/>
    <col min="1796" max="1796" width="2.90625" style="5" customWidth="1"/>
    <col min="1797" max="2042" width="9.08984375" style="5"/>
    <col min="2043" max="2043" width="6.6328125" style="5" customWidth="1"/>
    <col min="2044" max="2044" width="22.90625" style="5" bestFit="1" customWidth="1"/>
    <col min="2045" max="2045" width="10.08984375" style="5" bestFit="1" customWidth="1"/>
    <col min="2046" max="2046" width="9.08984375" style="5"/>
    <col min="2047" max="2047" width="10.453125" style="5" bestFit="1" customWidth="1"/>
    <col min="2048" max="2048" width="3.90625" style="5" customWidth="1"/>
    <col min="2049" max="2049" width="3.08984375" style="5" customWidth="1"/>
    <col min="2050" max="2051" width="3.36328125" style="5" bestFit="1" customWidth="1"/>
    <col min="2052" max="2052" width="2.90625" style="5" customWidth="1"/>
    <col min="2053" max="2298" width="9.08984375" style="5"/>
    <col min="2299" max="2299" width="6.6328125" style="5" customWidth="1"/>
    <col min="2300" max="2300" width="22.90625" style="5" bestFit="1" customWidth="1"/>
    <col min="2301" max="2301" width="10.08984375" style="5" bestFit="1" customWidth="1"/>
    <col min="2302" max="2302" width="9.08984375" style="5"/>
    <col min="2303" max="2303" width="10.453125" style="5" bestFit="1" customWidth="1"/>
    <col min="2304" max="2304" width="3.90625" style="5" customWidth="1"/>
    <col min="2305" max="2305" width="3.08984375" style="5" customWidth="1"/>
    <col min="2306" max="2307" width="3.36328125" style="5" bestFit="1" customWidth="1"/>
    <col min="2308" max="2308" width="2.90625" style="5" customWidth="1"/>
    <col min="2309" max="2554" width="9.08984375" style="5"/>
    <col min="2555" max="2555" width="6.6328125" style="5" customWidth="1"/>
    <col min="2556" max="2556" width="22.90625" style="5" bestFit="1" customWidth="1"/>
    <col min="2557" max="2557" width="10.08984375" style="5" bestFit="1" customWidth="1"/>
    <col min="2558" max="2558" width="9.08984375" style="5"/>
    <col min="2559" max="2559" width="10.453125" style="5" bestFit="1" customWidth="1"/>
    <col min="2560" max="2560" width="3.90625" style="5" customWidth="1"/>
    <col min="2561" max="2561" width="3.08984375" style="5" customWidth="1"/>
    <col min="2562" max="2563" width="3.36328125" style="5" bestFit="1" customWidth="1"/>
    <col min="2564" max="2564" width="2.90625" style="5" customWidth="1"/>
    <col min="2565" max="2810" width="9.08984375" style="5"/>
    <col min="2811" max="2811" width="6.6328125" style="5" customWidth="1"/>
    <col min="2812" max="2812" width="22.90625" style="5" bestFit="1" customWidth="1"/>
    <col min="2813" max="2813" width="10.08984375" style="5" bestFit="1" customWidth="1"/>
    <col min="2814" max="2814" width="9.08984375" style="5"/>
    <col min="2815" max="2815" width="10.453125" style="5" bestFit="1" customWidth="1"/>
    <col min="2816" max="2816" width="3.90625" style="5" customWidth="1"/>
    <col min="2817" max="2817" width="3.08984375" style="5" customWidth="1"/>
    <col min="2818" max="2819" width="3.36328125" style="5" bestFit="1" customWidth="1"/>
    <col min="2820" max="2820" width="2.90625" style="5" customWidth="1"/>
    <col min="2821" max="3066" width="9.08984375" style="5"/>
    <col min="3067" max="3067" width="6.6328125" style="5" customWidth="1"/>
    <col min="3068" max="3068" width="22.90625" style="5" bestFit="1" customWidth="1"/>
    <col min="3069" max="3069" width="10.08984375" style="5" bestFit="1" customWidth="1"/>
    <col min="3070" max="3070" width="9.08984375" style="5"/>
    <col min="3071" max="3071" width="10.453125" style="5" bestFit="1" customWidth="1"/>
    <col min="3072" max="3072" width="3.90625" style="5" customWidth="1"/>
    <col min="3073" max="3073" width="3.08984375" style="5" customWidth="1"/>
    <col min="3074" max="3075" width="3.36328125" style="5" bestFit="1" customWidth="1"/>
    <col min="3076" max="3076" width="2.90625" style="5" customWidth="1"/>
    <col min="3077" max="3322" width="9.08984375" style="5"/>
    <col min="3323" max="3323" width="6.6328125" style="5" customWidth="1"/>
    <col min="3324" max="3324" width="22.90625" style="5" bestFit="1" customWidth="1"/>
    <col min="3325" max="3325" width="10.08984375" style="5" bestFit="1" customWidth="1"/>
    <col min="3326" max="3326" width="9.08984375" style="5"/>
    <col min="3327" max="3327" width="10.453125" style="5" bestFit="1" customWidth="1"/>
    <col min="3328" max="3328" width="3.90625" style="5" customWidth="1"/>
    <col min="3329" max="3329" width="3.08984375" style="5" customWidth="1"/>
    <col min="3330" max="3331" width="3.36328125" style="5" bestFit="1" customWidth="1"/>
    <col min="3332" max="3332" width="2.90625" style="5" customWidth="1"/>
    <col min="3333" max="3578" width="9.08984375" style="5"/>
    <col min="3579" max="3579" width="6.6328125" style="5" customWidth="1"/>
    <col min="3580" max="3580" width="22.90625" style="5" bestFit="1" customWidth="1"/>
    <col min="3581" max="3581" width="10.08984375" style="5" bestFit="1" customWidth="1"/>
    <col min="3582" max="3582" width="9.08984375" style="5"/>
    <col min="3583" max="3583" width="10.453125" style="5" bestFit="1" customWidth="1"/>
    <col min="3584" max="3584" width="3.90625" style="5" customWidth="1"/>
    <col min="3585" max="3585" width="3.08984375" style="5" customWidth="1"/>
    <col min="3586" max="3587" width="3.36328125" style="5" bestFit="1" customWidth="1"/>
    <col min="3588" max="3588" width="2.90625" style="5" customWidth="1"/>
    <col min="3589" max="3834" width="9.08984375" style="5"/>
    <col min="3835" max="3835" width="6.6328125" style="5" customWidth="1"/>
    <col min="3836" max="3836" width="22.90625" style="5" bestFit="1" customWidth="1"/>
    <col min="3837" max="3837" width="10.08984375" style="5" bestFit="1" customWidth="1"/>
    <col min="3838" max="3838" width="9.08984375" style="5"/>
    <col min="3839" max="3839" width="10.453125" style="5" bestFit="1" customWidth="1"/>
    <col min="3840" max="3840" width="3.90625" style="5" customWidth="1"/>
    <col min="3841" max="3841" width="3.08984375" style="5" customWidth="1"/>
    <col min="3842" max="3843" width="3.36328125" style="5" bestFit="1" customWidth="1"/>
    <col min="3844" max="3844" width="2.90625" style="5" customWidth="1"/>
    <col min="3845" max="4090" width="9.08984375" style="5"/>
    <col min="4091" max="4091" width="6.6328125" style="5" customWidth="1"/>
    <col min="4092" max="4092" width="22.90625" style="5" bestFit="1" customWidth="1"/>
    <col min="4093" max="4093" width="10.08984375" style="5" bestFit="1" customWidth="1"/>
    <col min="4094" max="4094" width="9.08984375" style="5"/>
    <col min="4095" max="4095" width="10.453125" style="5" bestFit="1" customWidth="1"/>
    <col min="4096" max="4096" width="3.90625" style="5" customWidth="1"/>
    <col min="4097" max="4097" width="3.08984375" style="5" customWidth="1"/>
    <col min="4098" max="4099" width="3.36328125" style="5" bestFit="1" customWidth="1"/>
    <col min="4100" max="4100" width="2.90625" style="5" customWidth="1"/>
    <col min="4101" max="4346" width="9.08984375" style="5"/>
    <col min="4347" max="4347" width="6.6328125" style="5" customWidth="1"/>
    <col min="4348" max="4348" width="22.90625" style="5" bestFit="1" customWidth="1"/>
    <col min="4349" max="4349" width="10.08984375" style="5" bestFit="1" customWidth="1"/>
    <col min="4350" max="4350" width="9.08984375" style="5"/>
    <col min="4351" max="4351" width="10.453125" style="5" bestFit="1" customWidth="1"/>
    <col min="4352" max="4352" width="3.90625" style="5" customWidth="1"/>
    <col min="4353" max="4353" width="3.08984375" style="5" customWidth="1"/>
    <col min="4354" max="4355" width="3.36328125" style="5" bestFit="1" customWidth="1"/>
    <col min="4356" max="4356" width="2.90625" style="5" customWidth="1"/>
    <col min="4357" max="4602" width="9.08984375" style="5"/>
    <col min="4603" max="4603" width="6.6328125" style="5" customWidth="1"/>
    <col min="4604" max="4604" width="22.90625" style="5" bestFit="1" customWidth="1"/>
    <col min="4605" max="4605" width="10.08984375" style="5" bestFit="1" customWidth="1"/>
    <col min="4606" max="4606" width="9.08984375" style="5"/>
    <col min="4607" max="4607" width="10.453125" style="5" bestFit="1" customWidth="1"/>
    <col min="4608" max="4608" width="3.90625" style="5" customWidth="1"/>
    <col min="4609" max="4609" width="3.08984375" style="5" customWidth="1"/>
    <col min="4610" max="4611" width="3.36328125" style="5" bestFit="1" customWidth="1"/>
    <col min="4612" max="4612" width="2.90625" style="5" customWidth="1"/>
    <col min="4613" max="4858" width="9.08984375" style="5"/>
    <col min="4859" max="4859" width="6.6328125" style="5" customWidth="1"/>
    <col min="4860" max="4860" width="22.90625" style="5" bestFit="1" customWidth="1"/>
    <col min="4861" max="4861" width="10.08984375" style="5" bestFit="1" customWidth="1"/>
    <col min="4862" max="4862" width="9.08984375" style="5"/>
    <col min="4863" max="4863" width="10.453125" style="5" bestFit="1" customWidth="1"/>
    <col min="4864" max="4864" width="3.90625" style="5" customWidth="1"/>
    <col min="4865" max="4865" width="3.08984375" style="5" customWidth="1"/>
    <col min="4866" max="4867" width="3.36328125" style="5" bestFit="1" customWidth="1"/>
    <col min="4868" max="4868" width="2.90625" style="5" customWidth="1"/>
    <col min="4869" max="5114" width="9.08984375" style="5"/>
    <col min="5115" max="5115" width="6.6328125" style="5" customWidth="1"/>
    <col min="5116" max="5116" width="22.90625" style="5" bestFit="1" customWidth="1"/>
    <col min="5117" max="5117" width="10.08984375" style="5" bestFit="1" customWidth="1"/>
    <col min="5118" max="5118" width="9.08984375" style="5"/>
    <col min="5119" max="5119" width="10.453125" style="5" bestFit="1" customWidth="1"/>
    <col min="5120" max="5120" width="3.90625" style="5" customWidth="1"/>
    <col min="5121" max="5121" width="3.08984375" style="5" customWidth="1"/>
    <col min="5122" max="5123" width="3.36328125" style="5" bestFit="1" customWidth="1"/>
    <col min="5124" max="5124" width="2.90625" style="5" customWidth="1"/>
    <col min="5125" max="5370" width="9.08984375" style="5"/>
    <col min="5371" max="5371" width="6.6328125" style="5" customWidth="1"/>
    <col min="5372" max="5372" width="22.90625" style="5" bestFit="1" customWidth="1"/>
    <col min="5373" max="5373" width="10.08984375" style="5" bestFit="1" customWidth="1"/>
    <col min="5374" max="5374" width="9.08984375" style="5"/>
    <col min="5375" max="5375" width="10.453125" style="5" bestFit="1" customWidth="1"/>
    <col min="5376" max="5376" width="3.90625" style="5" customWidth="1"/>
    <col min="5377" max="5377" width="3.08984375" style="5" customWidth="1"/>
    <col min="5378" max="5379" width="3.36328125" style="5" bestFit="1" customWidth="1"/>
    <col min="5380" max="5380" width="2.90625" style="5" customWidth="1"/>
    <col min="5381" max="5626" width="9.08984375" style="5"/>
    <col min="5627" max="5627" width="6.6328125" style="5" customWidth="1"/>
    <col min="5628" max="5628" width="22.90625" style="5" bestFit="1" customWidth="1"/>
    <col min="5629" max="5629" width="10.08984375" style="5" bestFit="1" customWidth="1"/>
    <col min="5630" max="5630" width="9.08984375" style="5"/>
    <col min="5631" max="5631" width="10.453125" style="5" bestFit="1" customWidth="1"/>
    <col min="5632" max="5632" width="3.90625" style="5" customWidth="1"/>
    <col min="5633" max="5633" width="3.08984375" style="5" customWidth="1"/>
    <col min="5634" max="5635" width="3.36328125" style="5" bestFit="1" customWidth="1"/>
    <col min="5636" max="5636" width="2.90625" style="5" customWidth="1"/>
    <col min="5637" max="5882" width="9.08984375" style="5"/>
    <col min="5883" max="5883" width="6.6328125" style="5" customWidth="1"/>
    <col min="5884" max="5884" width="22.90625" style="5" bestFit="1" customWidth="1"/>
    <col min="5885" max="5885" width="10.08984375" style="5" bestFit="1" customWidth="1"/>
    <col min="5886" max="5886" width="9.08984375" style="5"/>
    <col min="5887" max="5887" width="10.453125" style="5" bestFit="1" customWidth="1"/>
    <col min="5888" max="5888" width="3.90625" style="5" customWidth="1"/>
    <col min="5889" max="5889" width="3.08984375" style="5" customWidth="1"/>
    <col min="5890" max="5891" width="3.36328125" style="5" bestFit="1" customWidth="1"/>
    <col min="5892" max="5892" width="2.90625" style="5" customWidth="1"/>
    <col min="5893" max="6138" width="9.08984375" style="5"/>
    <col min="6139" max="6139" width="6.6328125" style="5" customWidth="1"/>
    <col min="6140" max="6140" width="22.90625" style="5" bestFit="1" customWidth="1"/>
    <col min="6141" max="6141" width="10.08984375" style="5" bestFit="1" customWidth="1"/>
    <col min="6142" max="6142" width="9.08984375" style="5"/>
    <col min="6143" max="6143" width="10.453125" style="5" bestFit="1" customWidth="1"/>
    <col min="6144" max="6144" width="3.90625" style="5" customWidth="1"/>
    <col min="6145" max="6145" width="3.08984375" style="5" customWidth="1"/>
    <col min="6146" max="6147" width="3.36328125" style="5" bestFit="1" customWidth="1"/>
    <col min="6148" max="6148" width="2.90625" style="5" customWidth="1"/>
    <col min="6149" max="6394" width="9.08984375" style="5"/>
    <col min="6395" max="6395" width="6.6328125" style="5" customWidth="1"/>
    <col min="6396" max="6396" width="22.90625" style="5" bestFit="1" customWidth="1"/>
    <col min="6397" max="6397" width="10.08984375" style="5" bestFit="1" customWidth="1"/>
    <col min="6398" max="6398" width="9.08984375" style="5"/>
    <col min="6399" max="6399" width="10.453125" style="5" bestFit="1" customWidth="1"/>
    <col min="6400" max="6400" width="3.90625" style="5" customWidth="1"/>
    <col min="6401" max="6401" width="3.08984375" style="5" customWidth="1"/>
    <col min="6402" max="6403" width="3.36328125" style="5" bestFit="1" customWidth="1"/>
    <col min="6404" max="6404" width="2.90625" style="5" customWidth="1"/>
    <col min="6405" max="6650" width="9.08984375" style="5"/>
    <col min="6651" max="6651" width="6.6328125" style="5" customWidth="1"/>
    <col min="6652" max="6652" width="22.90625" style="5" bestFit="1" customWidth="1"/>
    <col min="6653" max="6653" width="10.08984375" style="5" bestFit="1" customWidth="1"/>
    <col min="6654" max="6654" width="9.08984375" style="5"/>
    <col min="6655" max="6655" width="10.453125" style="5" bestFit="1" customWidth="1"/>
    <col min="6656" max="6656" width="3.90625" style="5" customWidth="1"/>
    <col min="6657" max="6657" width="3.08984375" style="5" customWidth="1"/>
    <col min="6658" max="6659" width="3.36328125" style="5" bestFit="1" customWidth="1"/>
    <col min="6660" max="6660" width="2.90625" style="5" customWidth="1"/>
    <col min="6661" max="6906" width="9.08984375" style="5"/>
    <col min="6907" max="6907" width="6.6328125" style="5" customWidth="1"/>
    <col min="6908" max="6908" width="22.90625" style="5" bestFit="1" customWidth="1"/>
    <col min="6909" max="6909" width="10.08984375" style="5" bestFit="1" customWidth="1"/>
    <col min="6910" max="6910" width="9.08984375" style="5"/>
    <col min="6911" max="6911" width="10.453125" style="5" bestFit="1" customWidth="1"/>
    <col min="6912" max="6912" width="3.90625" style="5" customWidth="1"/>
    <col min="6913" max="6913" width="3.08984375" style="5" customWidth="1"/>
    <col min="6914" max="6915" width="3.36328125" style="5" bestFit="1" customWidth="1"/>
    <col min="6916" max="6916" width="2.90625" style="5" customWidth="1"/>
    <col min="6917" max="7162" width="9.08984375" style="5"/>
    <col min="7163" max="7163" width="6.6328125" style="5" customWidth="1"/>
    <col min="7164" max="7164" width="22.90625" style="5" bestFit="1" customWidth="1"/>
    <col min="7165" max="7165" width="10.08984375" style="5" bestFit="1" customWidth="1"/>
    <col min="7166" max="7166" width="9.08984375" style="5"/>
    <col min="7167" max="7167" width="10.453125" style="5" bestFit="1" customWidth="1"/>
    <col min="7168" max="7168" width="3.90625" style="5" customWidth="1"/>
    <col min="7169" max="7169" width="3.08984375" style="5" customWidth="1"/>
    <col min="7170" max="7171" width="3.36328125" style="5" bestFit="1" customWidth="1"/>
    <col min="7172" max="7172" width="2.90625" style="5" customWidth="1"/>
    <col min="7173" max="7418" width="9.08984375" style="5"/>
    <col min="7419" max="7419" width="6.6328125" style="5" customWidth="1"/>
    <col min="7420" max="7420" width="22.90625" style="5" bestFit="1" customWidth="1"/>
    <col min="7421" max="7421" width="10.08984375" style="5" bestFit="1" customWidth="1"/>
    <col min="7422" max="7422" width="9.08984375" style="5"/>
    <col min="7423" max="7423" width="10.453125" style="5" bestFit="1" customWidth="1"/>
    <col min="7424" max="7424" width="3.90625" style="5" customWidth="1"/>
    <col min="7425" max="7425" width="3.08984375" style="5" customWidth="1"/>
    <col min="7426" max="7427" width="3.36328125" style="5" bestFit="1" customWidth="1"/>
    <col min="7428" max="7428" width="2.90625" style="5" customWidth="1"/>
    <col min="7429" max="7674" width="9.08984375" style="5"/>
    <col min="7675" max="7675" width="6.6328125" style="5" customWidth="1"/>
    <col min="7676" max="7676" width="22.90625" style="5" bestFit="1" customWidth="1"/>
    <col min="7677" max="7677" width="10.08984375" style="5" bestFit="1" customWidth="1"/>
    <col min="7678" max="7678" width="9.08984375" style="5"/>
    <col min="7679" max="7679" width="10.453125" style="5" bestFit="1" customWidth="1"/>
    <col min="7680" max="7680" width="3.90625" style="5" customWidth="1"/>
    <col min="7681" max="7681" width="3.08984375" style="5" customWidth="1"/>
    <col min="7682" max="7683" width="3.36328125" style="5" bestFit="1" customWidth="1"/>
    <col min="7684" max="7684" width="2.90625" style="5" customWidth="1"/>
    <col min="7685" max="7930" width="9.08984375" style="5"/>
    <col min="7931" max="7931" width="6.6328125" style="5" customWidth="1"/>
    <col min="7932" max="7932" width="22.90625" style="5" bestFit="1" customWidth="1"/>
    <col min="7933" max="7933" width="10.08984375" style="5" bestFit="1" customWidth="1"/>
    <col min="7934" max="7934" width="9.08984375" style="5"/>
    <col min="7935" max="7935" width="10.453125" style="5" bestFit="1" customWidth="1"/>
    <col min="7936" max="7936" width="3.90625" style="5" customWidth="1"/>
    <col min="7937" max="7937" width="3.08984375" style="5" customWidth="1"/>
    <col min="7938" max="7939" width="3.36328125" style="5" bestFit="1" customWidth="1"/>
    <col min="7940" max="7940" width="2.90625" style="5" customWidth="1"/>
    <col min="7941" max="8186" width="9.08984375" style="5"/>
    <col min="8187" max="8187" width="6.6328125" style="5" customWidth="1"/>
    <col min="8188" max="8188" width="22.90625" style="5" bestFit="1" customWidth="1"/>
    <col min="8189" max="8189" width="10.08984375" style="5" bestFit="1" customWidth="1"/>
    <col min="8190" max="8190" width="9.08984375" style="5"/>
    <col min="8191" max="8191" width="10.453125" style="5" bestFit="1" customWidth="1"/>
    <col min="8192" max="8192" width="3.90625" style="5" customWidth="1"/>
    <col min="8193" max="8193" width="3.08984375" style="5" customWidth="1"/>
    <col min="8194" max="8195" width="3.36328125" style="5" bestFit="1" customWidth="1"/>
    <col min="8196" max="8196" width="2.90625" style="5" customWidth="1"/>
    <col min="8197" max="8442" width="9.08984375" style="5"/>
    <col min="8443" max="8443" width="6.6328125" style="5" customWidth="1"/>
    <col min="8444" max="8444" width="22.90625" style="5" bestFit="1" customWidth="1"/>
    <col min="8445" max="8445" width="10.08984375" style="5" bestFit="1" customWidth="1"/>
    <col min="8446" max="8446" width="9.08984375" style="5"/>
    <col min="8447" max="8447" width="10.453125" style="5" bestFit="1" customWidth="1"/>
    <col min="8448" max="8448" width="3.90625" style="5" customWidth="1"/>
    <col min="8449" max="8449" width="3.08984375" style="5" customWidth="1"/>
    <col min="8450" max="8451" width="3.36328125" style="5" bestFit="1" customWidth="1"/>
    <col min="8452" max="8452" width="2.90625" style="5" customWidth="1"/>
    <col min="8453" max="8698" width="9.08984375" style="5"/>
    <col min="8699" max="8699" width="6.6328125" style="5" customWidth="1"/>
    <col min="8700" max="8700" width="22.90625" style="5" bestFit="1" customWidth="1"/>
    <col min="8701" max="8701" width="10.08984375" style="5" bestFit="1" customWidth="1"/>
    <col min="8702" max="8702" width="9.08984375" style="5"/>
    <col min="8703" max="8703" width="10.453125" style="5" bestFit="1" customWidth="1"/>
    <col min="8704" max="8704" width="3.90625" style="5" customWidth="1"/>
    <col min="8705" max="8705" width="3.08984375" style="5" customWidth="1"/>
    <col min="8706" max="8707" width="3.36328125" style="5" bestFit="1" customWidth="1"/>
    <col min="8708" max="8708" width="2.90625" style="5" customWidth="1"/>
    <col min="8709" max="8954" width="9.08984375" style="5"/>
    <col min="8955" max="8955" width="6.6328125" style="5" customWidth="1"/>
    <col min="8956" max="8956" width="22.90625" style="5" bestFit="1" customWidth="1"/>
    <col min="8957" max="8957" width="10.08984375" style="5" bestFit="1" customWidth="1"/>
    <col min="8958" max="8958" width="9.08984375" style="5"/>
    <col min="8959" max="8959" width="10.453125" style="5" bestFit="1" customWidth="1"/>
    <col min="8960" max="8960" width="3.90625" style="5" customWidth="1"/>
    <col min="8961" max="8961" width="3.08984375" style="5" customWidth="1"/>
    <col min="8962" max="8963" width="3.36328125" style="5" bestFit="1" customWidth="1"/>
    <col min="8964" max="8964" width="2.90625" style="5" customWidth="1"/>
    <col min="8965" max="9210" width="9.08984375" style="5"/>
    <col min="9211" max="9211" width="6.6328125" style="5" customWidth="1"/>
    <col min="9212" max="9212" width="22.90625" style="5" bestFit="1" customWidth="1"/>
    <col min="9213" max="9213" width="10.08984375" style="5" bestFit="1" customWidth="1"/>
    <col min="9214" max="9214" width="9.08984375" style="5"/>
    <col min="9215" max="9215" width="10.453125" style="5" bestFit="1" customWidth="1"/>
    <col min="9216" max="9216" width="3.90625" style="5" customWidth="1"/>
    <col min="9217" max="9217" width="3.08984375" style="5" customWidth="1"/>
    <col min="9218" max="9219" width="3.36328125" style="5" bestFit="1" customWidth="1"/>
    <col min="9220" max="9220" width="2.90625" style="5" customWidth="1"/>
    <col min="9221" max="9466" width="9.08984375" style="5"/>
    <col min="9467" max="9467" width="6.6328125" style="5" customWidth="1"/>
    <col min="9468" max="9468" width="22.90625" style="5" bestFit="1" customWidth="1"/>
    <col min="9469" max="9469" width="10.08984375" style="5" bestFit="1" customWidth="1"/>
    <col min="9470" max="9470" width="9.08984375" style="5"/>
    <col min="9471" max="9471" width="10.453125" style="5" bestFit="1" customWidth="1"/>
    <col min="9472" max="9472" width="3.90625" style="5" customWidth="1"/>
    <col min="9473" max="9473" width="3.08984375" style="5" customWidth="1"/>
    <col min="9474" max="9475" width="3.36328125" style="5" bestFit="1" customWidth="1"/>
    <col min="9476" max="9476" width="2.90625" style="5" customWidth="1"/>
    <col min="9477" max="9722" width="9.08984375" style="5"/>
    <col min="9723" max="9723" width="6.6328125" style="5" customWidth="1"/>
    <col min="9724" max="9724" width="22.90625" style="5" bestFit="1" customWidth="1"/>
    <col min="9725" max="9725" width="10.08984375" style="5" bestFit="1" customWidth="1"/>
    <col min="9726" max="9726" width="9.08984375" style="5"/>
    <col min="9727" max="9727" width="10.453125" style="5" bestFit="1" customWidth="1"/>
    <col min="9728" max="9728" width="3.90625" style="5" customWidth="1"/>
    <col min="9729" max="9729" width="3.08984375" style="5" customWidth="1"/>
    <col min="9730" max="9731" width="3.36328125" style="5" bestFit="1" customWidth="1"/>
    <col min="9732" max="9732" width="2.90625" style="5" customWidth="1"/>
    <col min="9733" max="9978" width="9.08984375" style="5"/>
    <col min="9979" max="9979" width="6.6328125" style="5" customWidth="1"/>
    <col min="9980" max="9980" width="22.90625" style="5" bestFit="1" customWidth="1"/>
    <col min="9981" max="9981" width="10.08984375" style="5" bestFit="1" customWidth="1"/>
    <col min="9982" max="9982" width="9.08984375" style="5"/>
    <col min="9983" max="9983" width="10.453125" style="5" bestFit="1" customWidth="1"/>
    <col min="9984" max="9984" width="3.90625" style="5" customWidth="1"/>
    <col min="9985" max="9985" width="3.08984375" style="5" customWidth="1"/>
    <col min="9986" max="9987" width="3.36328125" style="5" bestFit="1" customWidth="1"/>
    <col min="9988" max="9988" width="2.90625" style="5" customWidth="1"/>
    <col min="9989" max="10234" width="9.08984375" style="5"/>
    <col min="10235" max="10235" width="6.6328125" style="5" customWidth="1"/>
    <col min="10236" max="10236" width="22.90625" style="5" bestFit="1" customWidth="1"/>
    <col min="10237" max="10237" width="10.08984375" style="5" bestFit="1" customWidth="1"/>
    <col min="10238" max="10238" width="9.08984375" style="5"/>
    <col min="10239" max="10239" width="10.453125" style="5" bestFit="1" customWidth="1"/>
    <col min="10240" max="10240" width="3.90625" style="5" customWidth="1"/>
    <col min="10241" max="10241" width="3.08984375" style="5" customWidth="1"/>
    <col min="10242" max="10243" width="3.36328125" style="5" bestFit="1" customWidth="1"/>
    <col min="10244" max="10244" width="2.90625" style="5" customWidth="1"/>
    <col min="10245" max="10490" width="9.08984375" style="5"/>
    <col min="10491" max="10491" width="6.6328125" style="5" customWidth="1"/>
    <col min="10492" max="10492" width="22.90625" style="5" bestFit="1" customWidth="1"/>
    <col min="10493" max="10493" width="10.08984375" style="5" bestFit="1" customWidth="1"/>
    <col min="10494" max="10494" width="9.08984375" style="5"/>
    <col min="10495" max="10495" width="10.453125" style="5" bestFit="1" customWidth="1"/>
    <col min="10496" max="10496" width="3.90625" style="5" customWidth="1"/>
    <col min="10497" max="10497" width="3.08984375" style="5" customWidth="1"/>
    <col min="10498" max="10499" width="3.36328125" style="5" bestFit="1" customWidth="1"/>
    <col min="10500" max="10500" width="2.90625" style="5" customWidth="1"/>
    <col min="10501" max="10746" width="9.08984375" style="5"/>
    <col min="10747" max="10747" width="6.6328125" style="5" customWidth="1"/>
    <col min="10748" max="10748" width="22.90625" style="5" bestFit="1" customWidth="1"/>
    <col min="10749" max="10749" width="10.08984375" style="5" bestFit="1" customWidth="1"/>
    <col min="10750" max="10750" width="9.08984375" style="5"/>
    <col min="10751" max="10751" width="10.453125" style="5" bestFit="1" customWidth="1"/>
    <col min="10752" max="10752" width="3.90625" style="5" customWidth="1"/>
    <col min="10753" max="10753" width="3.08984375" style="5" customWidth="1"/>
    <col min="10754" max="10755" width="3.36328125" style="5" bestFit="1" customWidth="1"/>
    <col min="10756" max="10756" width="2.90625" style="5" customWidth="1"/>
    <col min="10757" max="11002" width="9.08984375" style="5"/>
    <col min="11003" max="11003" width="6.6328125" style="5" customWidth="1"/>
    <col min="11004" max="11004" width="22.90625" style="5" bestFit="1" customWidth="1"/>
    <col min="11005" max="11005" width="10.08984375" style="5" bestFit="1" customWidth="1"/>
    <col min="11006" max="11006" width="9.08984375" style="5"/>
    <col min="11007" max="11007" width="10.453125" style="5" bestFit="1" customWidth="1"/>
    <col min="11008" max="11008" width="3.90625" style="5" customWidth="1"/>
    <col min="11009" max="11009" width="3.08984375" style="5" customWidth="1"/>
    <col min="11010" max="11011" width="3.36328125" style="5" bestFit="1" customWidth="1"/>
    <col min="11012" max="11012" width="2.90625" style="5" customWidth="1"/>
    <col min="11013" max="11258" width="9.08984375" style="5"/>
    <col min="11259" max="11259" width="6.6328125" style="5" customWidth="1"/>
    <col min="11260" max="11260" width="22.90625" style="5" bestFit="1" customWidth="1"/>
    <col min="11261" max="11261" width="10.08984375" style="5" bestFit="1" customWidth="1"/>
    <col min="11262" max="11262" width="9.08984375" style="5"/>
    <col min="11263" max="11263" width="10.453125" style="5" bestFit="1" customWidth="1"/>
    <col min="11264" max="11264" width="3.90625" style="5" customWidth="1"/>
    <col min="11265" max="11265" width="3.08984375" style="5" customWidth="1"/>
    <col min="11266" max="11267" width="3.36328125" style="5" bestFit="1" customWidth="1"/>
    <col min="11268" max="11268" width="2.90625" style="5" customWidth="1"/>
    <col min="11269" max="11514" width="9.08984375" style="5"/>
    <col min="11515" max="11515" width="6.6328125" style="5" customWidth="1"/>
    <col min="11516" max="11516" width="22.90625" style="5" bestFit="1" customWidth="1"/>
    <col min="11517" max="11517" width="10.08984375" style="5" bestFit="1" customWidth="1"/>
    <col min="11518" max="11518" width="9.08984375" style="5"/>
    <col min="11519" max="11519" width="10.453125" style="5" bestFit="1" customWidth="1"/>
    <col min="11520" max="11520" width="3.90625" style="5" customWidth="1"/>
    <col min="11521" max="11521" width="3.08984375" style="5" customWidth="1"/>
    <col min="11522" max="11523" width="3.36328125" style="5" bestFit="1" customWidth="1"/>
    <col min="11524" max="11524" width="2.90625" style="5" customWidth="1"/>
    <col min="11525" max="11770" width="9.08984375" style="5"/>
    <col min="11771" max="11771" width="6.6328125" style="5" customWidth="1"/>
    <col min="11772" max="11772" width="22.90625" style="5" bestFit="1" customWidth="1"/>
    <col min="11773" max="11773" width="10.08984375" style="5" bestFit="1" customWidth="1"/>
    <col min="11774" max="11774" width="9.08984375" style="5"/>
    <col min="11775" max="11775" width="10.453125" style="5" bestFit="1" customWidth="1"/>
    <col min="11776" max="11776" width="3.90625" style="5" customWidth="1"/>
    <col min="11777" max="11777" width="3.08984375" style="5" customWidth="1"/>
    <col min="11778" max="11779" width="3.36328125" style="5" bestFit="1" customWidth="1"/>
    <col min="11780" max="11780" width="2.90625" style="5" customWidth="1"/>
    <col min="11781" max="12026" width="9.08984375" style="5"/>
    <col min="12027" max="12027" width="6.6328125" style="5" customWidth="1"/>
    <col min="12028" max="12028" width="22.90625" style="5" bestFit="1" customWidth="1"/>
    <col min="12029" max="12029" width="10.08984375" style="5" bestFit="1" customWidth="1"/>
    <col min="12030" max="12030" width="9.08984375" style="5"/>
    <col min="12031" max="12031" width="10.453125" style="5" bestFit="1" customWidth="1"/>
    <col min="12032" max="12032" width="3.90625" style="5" customWidth="1"/>
    <col min="12033" max="12033" width="3.08984375" style="5" customWidth="1"/>
    <col min="12034" max="12035" width="3.36328125" style="5" bestFit="1" customWidth="1"/>
    <col min="12036" max="12036" width="2.90625" style="5" customWidth="1"/>
    <col min="12037" max="12282" width="9.08984375" style="5"/>
    <col min="12283" max="12283" width="6.6328125" style="5" customWidth="1"/>
    <col min="12284" max="12284" width="22.90625" style="5" bestFit="1" customWidth="1"/>
    <col min="12285" max="12285" width="10.08984375" style="5" bestFit="1" customWidth="1"/>
    <col min="12286" max="12286" width="9.08984375" style="5"/>
    <col min="12287" max="12287" width="10.453125" style="5" bestFit="1" customWidth="1"/>
    <col min="12288" max="12288" width="3.90625" style="5" customWidth="1"/>
    <col min="12289" max="12289" width="3.08984375" style="5" customWidth="1"/>
    <col min="12290" max="12291" width="3.36328125" style="5" bestFit="1" customWidth="1"/>
    <col min="12292" max="12292" width="2.90625" style="5" customWidth="1"/>
    <col min="12293" max="12538" width="9.08984375" style="5"/>
    <col min="12539" max="12539" width="6.6328125" style="5" customWidth="1"/>
    <col min="12540" max="12540" width="22.90625" style="5" bestFit="1" customWidth="1"/>
    <col min="12541" max="12541" width="10.08984375" style="5" bestFit="1" customWidth="1"/>
    <col min="12542" max="12542" width="9.08984375" style="5"/>
    <col min="12543" max="12543" width="10.453125" style="5" bestFit="1" customWidth="1"/>
    <col min="12544" max="12544" width="3.90625" style="5" customWidth="1"/>
    <col min="12545" max="12545" width="3.08984375" style="5" customWidth="1"/>
    <col min="12546" max="12547" width="3.36328125" style="5" bestFit="1" customWidth="1"/>
    <col min="12548" max="12548" width="2.90625" style="5" customWidth="1"/>
    <col min="12549" max="12794" width="9.08984375" style="5"/>
    <col min="12795" max="12795" width="6.6328125" style="5" customWidth="1"/>
    <col min="12796" max="12796" width="22.90625" style="5" bestFit="1" customWidth="1"/>
    <col min="12797" max="12797" width="10.08984375" style="5" bestFit="1" customWidth="1"/>
    <col min="12798" max="12798" width="9.08984375" style="5"/>
    <col min="12799" max="12799" width="10.453125" style="5" bestFit="1" customWidth="1"/>
    <col min="12800" max="12800" width="3.90625" style="5" customWidth="1"/>
    <col min="12801" max="12801" width="3.08984375" style="5" customWidth="1"/>
    <col min="12802" max="12803" width="3.36328125" style="5" bestFit="1" customWidth="1"/>
    <col min="12804" max="12804" width="2.90625" style="5" customWidth="1"/>
    <col min="12805" max="13050" width="9.08984375" style="5"/>
    <col min="13051" max="13051" width="6.6328125" style="5" customWidth="1"/>
    <col min="13052" max="13052" width="22.90625" style="5" bestFit="1" customWidth="1"/>
    <col min="13053" max="13053" width="10.08984375" style="5" bestFit="1" customWidth="1"/>
    <col min="13054" max="13054" width="9.08984375" style="5"/>
    <col min="13055" max="13055" width="10.453125" style="5" bestFit="1" customWidth="1"/>
    <col min="13056" max="13056" width="3.90625" style="5" customWidth="1"/>
    <col min="13057" max="13057" width="3.08984375" style="5" customWidth="1"/>
    <col min="13058" max="13059" width="3.36328125" style="5" bestFit="1" customWidth="1"/>
    <col min="13060" max="13060" width="2.90625" style="5" customWidth="1"/>
    <col min="13061" max="13306" width="9.08984375" style="5"/>
    <col min="13307" max="13307" width="6.6328125" style="5" customWidth="1"/>
    <col min="13308" max="13308" width="22.90625" style="5" bestFit="1" customWidth="1"/>
    <col min="13309" max="13309" width="10.08984375" style="5" bestFit="1" customWidth="1"/>
    <col min="13310" max="13310" width="9.08984375" style="5"/>
    <col min="13311" max="13311" width="10.453125" style="5" bestFit="1" customWidth="1"/>
    <col min="13312" max="13312" width="3.90625" style="5" customWidth="1"/>
    <col min="13313" max="13313" width="3.08984375" style="5" customWidth="1"/>
    <col min="13314" max="13315" width="3.36328125" style="5" bestFit="1" customWidth="1"/>
    <col min="13316" max="13316" width="2.90625" style="5" customWidth="1"/>
    <col min="13317" max="13562" width="9.08984375" style="5"/>
    <col min="13563" max="13563" width="6.6328125" style="5" customWidth="1"/>
    <col min="13564" max="13564" width="22.90625" style="5" bestFit="1" customWidth="1"/>
    <col min="13565" max="13565" width="10.08984375" style="5" bestFit="1" customWidth="1"/>
    <col min="13566" max="13566" width="9.08984375" style="5"/>
    <col min="13567" max="13567" width="10.453125" style="5" bestFit="1" customWidth="1"/>
    <col min="13568" max="13568" width="3.90625" style="5" customWidth="1"/>
    <col min="13569" max="13569" width="3.08984375" style="5" customWidth="1"/>
    <col min="13570" max="13571" width="3.36328125" style="5" bestFit="1" customWidth="1"/>
    <col min="13572" max="13572" width="2.90625" style="5" customWidth="1"/>
    <col min="13573" max="13818" width="9.08984375" style="5"/>
    <col min="13819" max="13819" width="6.6328125" style="5" customWidth="1"/>
    <col min="13820" max="13820" width="22.90625" style="5" bestFit="1" customWidth="1"/>
    <col min="13821" max="13821" width="10.08984375" style="5" bestFit="1" customWidth="1"/>
    <col min="13822" max="13822" width="9.08984375" style="5"/>
    <col min="13823" max="13823" width="10.453125" style="5" bestFit="1" customWidth="1"/>
    <col min="13824" max="13824" width="3.90625" style="5" customWidth="1"/>
    <col min="13825" max="13825" width="3.08984375" style="5" customWidth="1"/>
    <col min="13826" max="13827" width="3.36328125" style="5" bestFit="1" customWidth="1"/>
    <col min="13828" max="13828" width="2.90625" style="5" customWidth="1"/>
    <col min="13829" max="14074" width="9.08984375" style="5"/>
    <col min="14075" max="14075" width="6.6328125" style="5" customWidth="1"/>
    <col min="14076" max="14076" width="22.90625" style="5" bestFit="1" customWidth="1"/>
    <col min="14077" max="14077" width="10.08984375" style="5" bestFit="1" customWidth="1"/>
    <col min="14078" max="14078" width="9.08984375" style="5"/>
    <col min="14079" max="14079" width="10.453125" style="5" bestFit="1" customWidth="1"/>
    <col min="14080" max="14080" width="3.90625" style="5" customWidth="1"/>
    <col min="14081" max="14081" width="3.08984375" style="5" customWidth="1"/>
    <col min="14082" max="14083" width="3.36328125" style="5" bestFit="1" customWidth="1"/>
    <col min="14084" max="14084" width="2.90625" style="5" customWidth="1"/>
    <col min="14085" max="14330" width="9.08984375" style="5"/>
    <col min="14331" max="14331" width="6.6328125" style="5" customWidth="1"/>
    <col min="14332" max="14332" width="22.90625" style="5" bestFit="1" customWidth="1"/>
    <col min="14333" max="14333" width="10.08984375" style="5" bestFit="1" customWidth="1"/>
    <col min="14334" max="14334" width="9.08984375" style="5"/>
    <col min="14335" max="14335" width="10.453125" style="5" bestFit="1" customWidth="1"/>
    <col min="14336" max="14336" width="3.90625" style="5" customWidth="1"/>
    <col min="14337" max="14337" width="3.08984375" style="5" customWidth="1"/>
    <col min="14338" max="14339" width="3.36328125" style="5" bestFit="1" customWidth="1"/>
    <col min="14340" max="14340" width="2.90625" style="5" customWidth="1"/>
    <col min="14341" max="14586" width="9.08984375" style="5"/>
    <col min="14587" max="14587" width="6.6328125" style="5" customWidth="1"/>
    <col min="14588" max="14588" width="22.90625" style="5" bestFit="1" customWidth="1"/>
    <col min="14589" max="14589" width="10.08984375" style="5" bestFit="1" customWidth="1"/>
    <col min="14590" max="14590" width="9.08984375" style="5"/>
    <col min="14591" max="14591" width="10.453125" style="5" bestFit="1" customWidth="1"/>
    <col min="14592" max="14592" width="3.90625" style="5" customWidth="1"/>
    <col min="14593" max="14593" width="3.08984375" style="5" customWidth="1"/>
    <col min="14594" max="14595" width="3.36328125" style="5" bestFit="1" customWidth="1"/>
    <col min="14596" max="14596" width="2.90625" style="5" customWidth="1"/>
    <col min="14597" max="14842" width="9.08984375" style="5"/>
    <col min="14843" max="14843" width="6.6328125" style="5" customWidth="1"/>
    <col min="14844" max="14844" width="22.90625" style="5" bestFit="1" customWidth="1"/>
    <col min="14845" max="14845" width="10.08984375" style="5" bestFit="1" customWidth="1"/>
    <col min="14846" max="14846" width="9.08984375" style="5"/>
    <col min="14847" max="14847" width="10.453125" style="5" bestFit="1" customWidth="1"/>
    <col min="14848" max="14848" width="3.90625" style="5" customWidth="1"/>
    <col min="14849" max="14849" width="3.08984375" style="5" customWidth="1"/>
    <col min="14850" max="14851" width="3.36328125" style="5" bestFit="1" customWidth="1"/>
    <col min="14852" max="14852" width="2.90625" style="5" customWidth="1"/>
    <col min="14853" max="15098" width="9.08984375" style="5"/>
    <col min="15099" max="15099" width="6.6328125" style="5" customWidth="1"/>
    <col min="15100" max="15100" width="22.90625" style="5" bestFit="1" customWidth="1"/>
    <col min="15101" max="15101" width="10.08984375" style="5" bestFit="1" customWidth="1"/>
    <col min="15102" max="15102" width="9.08984375" style="5"/>
    <col min="15103" max="15103" width="10.453125" style="5" bestFit="1" customWidth="1"/>
    <col min="15104" max="15104" width="3.90625" style="5" customWidth="1"/>
    <col min="15105" max="15105" width="3.08984375" style="5" customWidth="1"/>
    <col min="15106" max="15107" width="3.36328125" style="5" bestFit="1" customWidth="1"/>
    <col min="15108" max="15108" width="2.90625" style="5" customWidth="1"/>
    <col min="15109" max="15354" width="9.08984375" style="5"/>
    <col min="15355" max="15355" width="6.6328125" style="5" customWidth="1"/>
    <col min="15356" max="15356" width="22.90625" style="5" bestFit="1" customWidth="1"/>
    <col min="15357" max="15357" width="10.08984375" style="5" bestFit="1" customWidth="1"/>
    <col min="15358" max="15358" width="9.08984375" style="5"/>
    <col min="15359" max="15359" width="10.453125" style="5" bestFit="1" customWidth="1"/>
    <col min="15360" max="15360" width="3.90625" style="5" customWidth="1"/>
    <col min="15361" max="15361" width="3.08984375" style="5" customWidth="1"/>
    <col min="15362" max="15363" width="3.36328125" style="5" bestFit="1" customWidth="1"/>
    <col min="15364" max="15364" width="2.90625" style="5" customWidth="1"/>
    <col min="15365" max="15610" width="9.08984375" style="5"/>
    <col min="15611" max="15611" width="6.6328125" style="5" customWidth="1"/>
    <col min="15612" max="15612" width="22.90625" style="5" bestFit="1" customWidth="1"/>
    <col min="15613" max="15613" width="10.08984375" style="5" bestFit="1" customWidth="1"/>
    <col min="15614" max="15614" width="9.08984375" style="5"/>
    <col min="15615" max="15615" width="10.453125" style="5" bestFit="1" customWidth="1"/>
    <col min="15616" max="15616" width="3.90625" style="5" customWidth="1"/>
    <col min="15617" max="15617" width="3.08984375" style="5" customWidth="1"/>
    <col min="15618" max="15619" width="3.36328125" style="5" bestFit="1" customWidth="1"/>
    <col min="15620" max="15620" width="2.90625" style="5" customWidth="1"/>
    <col min="15621" max="15866" width="9.08984375" style="5"/>
    <col min="15867" max="15867" width="6.6328125" style="5" customWidth="1"/>
    <col min="15868" max="15868" width="22.90625" style="5" bestFit="1" customWidth="1"/>
    <col min="15869" max="15869" width="10.08984375" style="5" bestFit="1" customWidth="1"/>
    <col min="15870" max="15870" width="9.08984375" style="5"/>
    <col min="15871" max="15871" width="10.453125" style="5" bestFit="1" customWidth="1"/>
    <col min="15872" max="15872" width="3.90625" style="5" customWidth="1"/>
    <col min="15873" max="15873" width="3.08984375" style="5" customWidth="1"/>
    <col min="15874" max="15875" width="3.36328125" style="5" bestFit="1" customWidth="1"/>
    <col min="15876" max="15876" width="2.90625" style="5" customWidth="1"/>
    <col min="15877" max="16122" width="9.08984375" style="5"/>
    <col min="16123" max="16123" width="6.6328125" style="5" customWidth="1"/>
    <col min="16124" max="16124" width="22.90625" style="5" bestFit="1" customWidth="1"/>
    <col min="16125" max="16125" width="10.08984375" style="5" bestFit="1" customWidth="1"/>
    <col min="16126" max="16126" width="9.08984375" style="5"/>
    <col min="16127" max="16127" width="10.453125" style="5" bestFit="1" customWidth="1"/>
    <col min="16128" max="16128" width="3.90625" style="5" customWidth="1"/>
    <col min="16129" max="16129" width="3.08984375" style="5" customWidth="1"/>
    <col min="16130" max="16131" width="3.36328125" style="5" bestFit="1" customWidth="1"/>
    <col min="16132" max="16132" width="2.90625" style="5" customWidth="1"/>
    <col min="16133" max="16378" width="9.08984375" style="5"/>
    <col min="16379" max="16384" width="9.08984375" style="5" customWidth="1"/>
  </cols>
  <sheetData>
    <row r="1" spans="1:19" ht="17">
      <c r="A1" s="1" t="s">
        <v>0</v>
      </c>
      <c r="B1" s="2" t="s">
        <v>120</v>
      </c>
      <c r="C1" s="3" t="s">
        <v>1</v>
      </c>
      <c r="D1" s="3" t="s">
        <v>2</v>
      </c>
      <c r="E1" s="3" t="s">
        <v>3</v>
      </c>
      <c r="F1" s="3"/>
      <c r="G1" s="3"/>
      <c r="H1" s="4"/>
      <c r="I1" s="4"/>
      <c r="K1" s="6" t="s">
        <v>4</v>
      </c>
      <c r="L1" s="7" t="s">
        <v>5</v>
      </c>
      <c r="M1" s="8" t="s">
        <v>6</v>
      </c>
      <c r="N1" s="8" t="s">
        <v>7</v>
      </c>
      <c r="O1" s="8" t="s">
        <v>121</v>
      </c>
    </row>
    <row r="2" spans="1:19" ht="16">
      <c r="A2" s="9">
        <v>1</v>
      </c>
      <c r="B2" s="10" t="s">
        <v>8</v>
      </c>
      <c r="C2" s="11">
        <v>113</v>
      </c>
      <c r="D2" s="12">
        <v>1</v>
      </c>
      <c r="E2" s="12">
        <v>1</v>
      </c>
      <c r="F2" s="12"/>
      <c r="G2" s="12"/>
      <c r="H2" s="13"/>
      <c r="I2" s="13"/>
      <c r="K2" s="14" t="s">
        <v>9</v>
      </c>
      <c r="L2" s="14" t="s">
        <v>10</v>
      </c>
      <c r="M2" s="15" t="s">
        <v>9</v>
      </c>
      <c r="N2" s="15" t="s">
        <v>9</v>
      </c>
      <c r="O2" s="53">
        <v>3</v>
      </c>
      <c r="Q2" s="5">
        <v>3</v>
      </c>
    </row>
    <row r="3" spans="1:19" ht="14.5">
      <c r="A3" s="16">
        <v>1</v>
      </c>
      <c r="B3" s="17" t="s">
        <v>8</v>
      </c>
      <c r="C3" s="16">
        <v>110</v>
      </c>
      <c r="D3" s="18">
        <v>0</v>
      </c>
      <c r="E3" s="18">
        <v>0</v>
      </c>
      <c r="F3" s="18"/>
      <c r="G3" s="18"/>
      <c r="L3" s="21"/>
      <c r="M3" s="22"/>
      <c r="N3" s="22"/>
      <c r="S3" s="23"/>
    </row>
    <row r="4" spans="1:19" ht="14.5">
      <c r="A4" s="16">
        <v>2</v>
      </c>
      <c r="B4" s="17" t="s">
        <v>130</v>
      </c>
      <c r="C4" s="16">
        <v>220</v>
      </c>
      <c r="D4" s="18">
        <v>0</v>
      </c>
      <c r="E4" s="18">
        <v>0</v>
      </c>
      <c r="F4" s="18"/>
      <c r="G4" s="18"/>
      <c r="L4" s="21"/>
      <c r="M4" s="22"/>
      <c r="N4" s="22"/>
      <c r="P4" s="23"/>
      <c r="S4" s="23"/>
    </row>
    <row r="5" spans="1:19" ht="14.5">
      <c r="A5" s="16">
        <v>3</v>
      </c>
      <c r="B5" s="17" t="s">
        <v>131</v>
      </c>
      <c r="C5" s="16">
        <v>220</v>
      </c>
      <c r="D5" s="18">
        <v>0</v>
      </c>
      <c r="E5" s="18">
        <v>0</v>
      </c>
      <c r="F5" s="18"/>
      <c r="G5" s="18"/>
      <c r="L5" s="21"/>
      <c r="M5" s="22"/>
      <c r="N5" s="22"/>
      <c r="P5" s="23"/>
      <c r="S5" s="23"/>
    </row>
    <row r="6" spans="1:19" ht="14.5">
      <c r="A6" s="16">
        <v>4</v>
      </c>
      <c r="B6" s="17" t="s">
        <v>11</v>
      </c>
      <c r="C6" s="16">
        <v>110</v>
      </c>
      <c r="D6" s="18">
        <v>13.5</v>
      </c>
      <c r="E6" s="18">
        <v>5.0999999999999996</v>
      </c>
      <c r="F6" s="18"/>
      <c r="G6" s="18"/>
      <c r="L6" s="21"/>
      <c r="M6" s="22"/>
      <c r="N6" s="22"/>
      <c r="P6" s="23"/>
      <c r="S6" s="23"/>
    </row>
    <row r="7" spans="1:19" ht="14.5">
      <c r="A7" s="16">
        <v>5</v>
      </c>
      <c r="B7" s="17" t="s">
        <v>12</v>
      </c>
      <c r="C7" s="16">
        <v>110</v>
      </c>
      <c r="D7" s="18">
        <v>16.100000000000001</v>
      </c>
      <c r="E7" s="18">
        <v>6.5</v>
      </c>
      <c r="F7" s="18"/>
      <c r="G7" s="18"/>
      <c r="L7" s="21"/>
      <c r="M7" s="22"/>
      <c r="N7" s="22"/>
      <c r="P7" s="20"/>
      <c r="S7" s="23"/>
    </row>
    <row r="8" spans="1:19" ht="14.5">
      <c r="A8" s="16">
        <v>6</v>
      </c>
      <c r="B8" s="17" t="s">
        <v>13</v>
      </c>
      <c r="C8" s="16">
        <v>110</v>
      </c>
      <c r="D8" s="18">
        <v>57.5</v>
      </c>
      <c r="E8" s="18">
        <v>21.5</v>
      </c>
      <c r="F8" s="18"/>
      <c r="G8" s="18"/>
      <c r="L8" s="21"/>
      <c r="M8" s="22"/>
      <c r="N8" s="22"/>
      <c r="P8" s="20"/>
      <c r="S8" s="23"/>
    </row>
    <row r="9" spans="1:19" ht="14.5">
      <c r="A9" s="16">
        <v>7</v>
      </c>
      <c r="B9" s="17" t="s">
        <v>14</v>
      </c>
      <c r="C9" s="16">
        <v>110</v>
      </c>
      <c r="D9" s="18">
        <v>8.1999999999999993</v>
      </c>
      <c r="E9" s="18">
        <v>3.1</v>
      </c>
      <c r="F9" s="18"/>
      <c r="G9" s="18"/>
      <c r="L9" s="21"/>
      <c r="M9" s="22"/>
      <c r="N9" s="22"/>
      <c r="P9" s="23"/>
      <c r="S9" s="23"/>
    </row>
    <row r="10" spans="1:19" ht="14.5">
      <c r="A10" s="16">
        <v>8</v>
      </c>
      <c r="B10" s="17" t="s">
        <v>15</v>
      </c>
      <c r="C10" s="16">
        <v>110</v>
      </c>
      <c r="D10" s="18">
        <v>85</v>
      </c>
      <c r="E10" s="18">
        <v>20</v>
      </c>
      <c r="F10" s="18"/>
      <c r="G10" s="18"/>
      <c r="L10" s="21"/>
      <c r="M10" s="22"/>
      <c r="N10" s="22"/>
      <c r="P10" s="23"/>
      <c r="S10" s="23"/>
    </row>
    <row r="11" spans="1:19" ht="14.5">
      <c r="A11" s="16">
        <v>9</v>
      </c>
      <c r="B11" s="17" t="s">
        <v>16</v>
      </c>
      <c r="C11" s="16">
        <v>110</v>
      </c>
      <c r="D11" s="18">
        <v>40</v>
      </c>
      <c r="E11" s="18">
        <v>15</v>
      </c>
      <c r="F11" s="18"/>
      <c r="G11" s="18"/>
      <c r="L11" s="21"/>
      <c r="M11" s="22"/>
      <c r="N11" s="22"/>
      <c r="P11" s="23"/>
      <c r="S11" s="23"/>
    </row>
    <row r="12" spans="1:19" ht="14.5">
      <c r="A12" s="16">
        <v>10</v>
      </c>
      <c r="B12" s="17" t="s">
        <v>17</v>
      </c>
      <c r="C12" s="16">
        <v>110</v>
      </c>
      <c r="D12" s="18">
        <v>37.700000000000003</v>
      </c>
      <c r="E12" s="18">
        <v>14.1</v>
      </c>
      <c r="F12" s="18"/>
      <c r="G12" s="18"/>
      <c r="L12" s="21"/>
      <c r="M12" s="22"/>
      <c r="N12" s="22"/>
      <c r="P12" s="23"/>
      <c r="S12" s="23"/>
    </row>
    <row r="13" spans="1:19" ht="14.5">
      <c r="A13" s="16">
        <v>11</v>
      </c>
      <c r="B13" s="17" t="s">
        <v>18</v>
      </c>
      <c r="C13" s="16">
        <v>110</v>
      </c>
      <c r="D13" s="18">
        <v>54</v>
      </c>
      <c r="E13" s="18">
        <v>20</v>
      </c>
      <c r="F13" s="18"/>
      <c r="G13" s="18"/>
      <c r="L13" s="21"/>
      <c r="M13" s="22"/>
      <c r="N13" s="22"/>
      <c r="P13" s="23"/>
      <c r="S13" s="23"/>
    </row>
    <row r="14" spans="1:19" ht="14.5">
      <c r="A14" s="16">
        <v>12</v>
      </c>
      <c r="B14" s="17" t="s">
        <v>19</v>
      </c>
      <c r="C14" s="16">
        <v>110</v>
      </c>
      <c r="D14" s="18">
        <v>37</v>
      </c>
      <c r="E14" s="18">
        <v>14</v>
      </c>
      <c r="F14" s="18"/>
      <c r="G14" s="18"/>
      <c r="L14" s="21"/>
      <c r="M14" s="22"/>
      <c r="N14" s="22"/>
      <c r="P14" s="23"/>
      <c r="S14" s="23"/>
    </row>
    <row r="15" spans="1:19" ht="14.5">
      <c r="A15" s="16">
        <v>13</v>
      </c>
      <c r="B15" s="17" t="s">
        <v>20</v>
      </c>
      <c r="C15" s="16">
        <v>110</v>
      </c>
      <c r="D15" s="18">
        <v>0</v>
      </c>
      <c r="E15" s="18">
        <v>0</v>
      </c>
      <c r="F15" s="18"/>
      <c r="G15" s="18"/>
      <c r="L15" s="21"/>
      <c r="M15" s="22"/>
      <c r="N15" s="22"/>
      <c r="P15" s="23"/>
      <c r="S15" s="23"/>
    </row>
    <row r="16" spans="1:19" ht="14.5">
      <c r="A16" s="16">
        <v>14</v>
      </c>
      <c r="B16" s="17" t="s">
        <v>21</v>
      </c>
      <c r="C16" s="16">
        <v>110</v>
      </c>
      <c r="D16" s="18">
        <v>44</v>
      </c>
      <c r="E16" s="18">
        <v>17</v>
      </c>
      <c r="F16" s="18"/>
      <c r="G16" s="18"/>
      <c r="L16" s="21"/>
      <c r="M16" s="22"/>
      <c r="N16" s="22"/>
      <c r="P16" s="23"/>
      <c r="S16" s="23"/>
    </row>
    <row r="17" spans="1:19" ht="14.5">
      <c r="A17" s="16">
        <v>15</v>
      </c>
      <c r="B17" s="17" t="s">
        <v>22</v>
      </c>
      <c r="C17" s="16">
        <v>110</v>
      </c>
      <c r="D17" s="18">
        <v>76</v>
      </c>
      <c r="E17" s="18">
        <v>32</v>
      </c>
      <c r="F17" s="18"/>
      <c r="G17" s="18"/>
      <c r="H17" s="13"/>
      <c r="I17" s="13"/>
      <c r="L17" s="21"/>
      <c r="M17" s="22"/>
      <c r="N17" s="22"/>
      <c r="S17" s="23"/>
    </row>
    <row r="18" spans="1:19" ht="14.5">
      <c r="A18" s="16">
        <v>16</v>
      </c>
      <c r="B18" s="17" t="s">
        <v>23</v>
      </c>
      <c r="C18" s="16">
        <v>110</v>
      </c>
      <c r="D18" s="18">
        <v>0</v>
      </c>
      <c r="E18" s="18">
        <v>0</v>
      </c>
      <c r="F18" s="18"/>
      <c r="G18" s="18"/>
      <c r="L18" s="21"/>
      <c r="M18" s="22"/>
      <c r="N18" s="22"/>
      <c r="S18" s="23"/>
    </row>
    <row r="19" spans="1:19" ht="14.5">
      <c r="A19" s="16">
        <v>17</v>
      </c>
      <c r="B19" s="17" t="s">
        <v>24</v>
      </c>
      <c r="C19" s="16">
        <v>110</v>
      </c>
      <c r="D19" s="18">
        <v>0</v>
      </c>
      <c r="E19" s="18">
        <v>0</v>
      </c>
      <c r="F19" s="18"/>
      <c r="G19" s="18"/>
      <c r="L19" s="21"/>
      <c r="M19" s="22"/>
      <c r="N19" s="22"/>
      <c r="S19" s="23"/>
    </row>
    <row r="20" spans="1:19" ht="14.5">
      <c r="A20" s="16">
        <v>18</v>
      </c>
      <c r="B20" s="17" t="s">
        <v>25</v>
      </c>
      <c r="C20" s="16">
        <v>110</v>
      </c>
      <c r="D20" s="18">
        <v>3.7</v>
      </c>
      <c r="E20" s="18">
        <v>1.4</v>
      </c>
      <c r="F20" s="18"/>
      <c r="G20" s="18"/>
      <c r="L20" s="21"/>
      <c r="M20" s="22"/>
      <c r="N20" s="22"/>
      <c r="S20" s="23"/>
    </row>
    <row r="21" spans="1:19" ht="14.5">
      <c r="A21" s="16">
        <v>19</v>
      </c>
      <c r="B21" s="17" t="s">
        <v>26</v>
      </c>
      <c r="C21" s="16">
        <v>110</v>
      </c>
      <c r="D21" s="18">
        <v>18</v>
      </c>
      <c r="E21" s="18">
        <v>8</v>
      </c>
      <c r="F21" s="18"/>
      <c r="G21" s="18"/>
      <c r="L21" s="21"/>
      <c r="M21" s="22"/>
      <c r="N21" s="22"/>
    </row>
    <row r="22" spans="1:19" ht="14.5">
      <c r="A22" s="16">
        <v>20</v>
      </c>
      <c r="B22" s="17" t="s">
        <v>27</v>
      </c>
      <c r="C22" s="16">
        <v>110</v>
      </c>
      <c r="D22" s="18">
        <v>0</v>
      </c>
      <c r="E22" s="18">
        <v>0</v>
      </c>
      <c r="F22" s="18"/>
      <c r="G22" s="18"/>
      <c r="L22" s="21"/>
      <c r="M22" s="22"/>
      <c r="N22" s="22"/>
    </row>
    <row r="23" spans="1:19" ht="14.5">
      <c r="A23" s="16"/>
      <c r="B23" s="17"/>
      <c r="C23" s="16"/>
      <c r="D23" s="18"/>
      <c r="E23" s="18"/>
      <c r="F23" s="18"/>
      <c r="G23" s="18"/>
      <c r="L23" s="26"/>
      <c r="M23" s="24"/>
      <c r="N23" s="25"/>
    </row>
    <row r="24" spans="1:19" ht="14.5">
      <c r="A24" s="16"/>
      <c r="B24" s="17"/>
      <c r="C24" s="16"/>
      <c r="D24" s="27"/>
      <c r="E24" s="27"/>
      <c r="F24" s="27"/>
      <c r="G24" s="27"/>
      <c r="L24" s="26"/>
      <c r="M24" s="24"/>
      <c r="N24" s="25"/>
    </row>
    <row r="25" spans="1:19" ht="14.5">
      <c r="A25" s="16"/>
      <c r="B25" s="17"/>
      <c r="C25" s="16"/>
      <c r="D25" s="18"/>
      <c r="E25" s="18"/>
      <c r="F25" s="18"/>
      <c r="G25" s="18"/>
      <c r="L25" s="26"/>
      <c r="M25" s="24"/>
      <c r="N25" s="25"/>
    </row>
    <row r="26" spans="1:19">
      <c r="L26" s="26"/>
      <c r="M26" s="24"/>
      <c r="N26" s="25"/>
    </row>
    <row r="27" spans="1:19">
      <c r="L27" s="26"/>
      <c r="M27" s="24"/>
      <c r="N27" s="25"/>
    </row>
    <row r="28" spans="1:19">
      <c r="L28" s="26"/>
      <c r="M28" s="24"/>
      <c r="N28" s="25"/>
    </row>
    <row r="29" spans="1:19">
      <c r="L29" s="26"/>
      <c r="M29" s="24"/>
      <c r="N29" s="25"/>
    </row>
    <row r="30" spans="1:19">
      <c r="L30" s="26"/>
      <c r="M30" s="24"/>
      <c r="N30" s="25"/>
    </row>
    <row r="31" spans="1:19">
      <c r="L31" s="26"/>
      <c r="M31" s="24"/>
      <c r="N31" s="25"/>
    </row>
    <row r="32" spans="1:19">
      <c r="L32" s="26"/>
      <c r="M32" s="24"/>
      <c r="N32" s="25"/>
    </row>
    <row r="33" spans="12:14">
      <c r="L33" s="26"/>
      <c r="M33" s="28"/>
      <c r="N33" s="29"/>
    </row>
    <row r="34" spans="12:14">
      <c r="L34" s="26"/>
      <c r="M34" s="28"/>
      <c r="N34" s="29"/>
    </row>
    <row r="35" spans="12:14">
      <c r="L35" s="26"/>
      <c r="M35" s="28"/>
      <c r="N35" s="29"/>
    </row>
    <row r="36" spans="12:14">
      <c r="L36" s="26"/>
      <c r="M36" s="28"/>
      <c r="N36" s="29"/>
    </row>
    <row r="37" spans="12:14">
      <c r="L37" s="26"/>
      <c r="M37" s="28"/>
      <c r="N37" s="29"/>
    </row>
    <row r="38" spans="12:14">
      <c r="L38" s="26"/>
    </row>
    <row r="39" spans="12:14">
      <c r="L39" s="26"/>
    </row>
    <row r="40" spans="12:14">
      <c r="L40" s="26"/>
    </row>
    <row r="41" spans="12:14">
      <c r="L41" s="26"/>
    </row>
    <row r="42" spans="12:14">
      <c r="L42" s="26"/>
    </row>
    <row r="43" spans="12:14">
      <c r="L43" s="26"/>
    </row>
    <row r="44" spans="12:14">
      <c r="L44" s="26"/>
    </row>
    <row r="45" spans="12:14">
      <c r="L45" s="26"/>
    </row>
    <row r="46" spans="12:14">
      <c r="L46" s="26"/>
    </row>
    <row r="47" spans="12:14">
      <c r="L47" s="26"/>
    </row>
    <row r="48" spans="12:14">
      <c r="L48" s="26"/>
    </row>
    <row r="49" spans="12:12">
      <c r="L49" s="26"/>
    </row>
    <row r="50" spans="12:12">
      <c r="L50" s="26"/>
    </row>
    <row r="51" spans="12:12">
      <c r="L51" s="26"/>
    </row>
    <row r="52" spans="12:12">
      <c r="L52" s="26"/>
    </row>
    <row r="53" spans="12:12">
      <c r="L53" s="26"/>
    </row>
    <row r="54" spans="12:12">
      <c r="L54" s="26"/>
    </row>
    <row r="55" spans="12:12">
      <c r="L55" s="26"/>
    </row>
    <row r="56" spans="12:12">
      <c r="L56" s="26"/>
    </row>
    <row r="57" spans="12:12">
      <c r="L57" s="26"/>
    </row>
    <row r="58" spans="12:12">
      <c r="L58" s="26"/>
    </row>
    <row r="59" spans="12:12">
      <c r="L59" s="26"/>
    </row>
    <row r="60" spans="12:12">
      <c r="L60" s="26"/>
    </row>
    <row r="61" spans="12:12">
      <c r="L61" s="26"/>
    </row>
    <row r="62" spans="12:12">
      <c r="L62" s="26"/>
    </row>
    <row r="63" spans="12:12">
      <c r="L63" s="26"/>
    </row>
    <row r="64" spans="12:12">
      <c r="L64" s="26"/>
    </row>
    <row r="65" spans="12:12">
      <c r="L65" s="26"/>
    </row>
    <row r="66" spans="12:12">
      <c r="L66" s="26"/>
    </row>
    <row r="67" spans="12:12">
      <c r="L67" s="26"/>
    </row>
    <row r="68" spans="12:12">
      <c r="L68" s="26"/>
    </row>
    <row r="69" spans="12:12">
      <c r="L69" s="26"/>
    </row>
    <row r="70" spans="12:12">
      <c r="L70" s="26"/>
    </row>
    <row r="71" spans="12:12">
      <c r="L71" s="26"/>
    </row>
    <row r="72" spans="12:12">
      <c r="L72" s="26"/>
    </row>
    <row r="73" spans="12:12">
      <c r="L73" s="26"/>
    </row>
    <row r="74" spans="12:12">
      <c r="L74" s="26"/>
    </row>
    <row r="75" spans="12:12">
      <c r="L75" s="26"/>
    </row>
    <row r="76" spans="12:12">
      <c r="L76" s="26"/>
    </row>
    <row r="77" spans="12:12">
      <c r="L77" s="2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Button14_Click">
                <anchor moveWithCells="1" sizeWithCells="1">
                  <from>
                    <xdr:col>15</xdr:col>
                    <xdr:colOff>260350</xdr:colOff>
                    <xdr:row>0</xdr:row>
                    <xdr:rowOff>152400</xdr:rowOff>
                  </from>
                  <to>
                    <xdr:col>17</xdr:col>
                    <xdr:colOff>273050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6"/>
  <sheetViews>
    <sheetView tabSelected="1" zoomScale="90" zoomScaleNormal="90" workbookViewId="0">
      <selection activeCell="G2" sqref="G2:K26"/>
    </sheetView>
  </sheetViews>
  <sheetFormatPr defaultRowHeight="14.5"/>
  <cols>
    <col min="1" max="1" width="5" bestFit="1" customWidth="1"/>
    <col min="2" max="2" width="19.90625" customWidth="1"/>
    <col min="3" max="3" width="17.54296875" customWidth="1"/>
    <col min="5" max="5" width="10.1796875" bestFit="1" customWidth="1"/>
    <col min="7" max="7" width="10.08984375" bestFit="1" customWidth="1"/>
    <col min="8" max="8" width="11.453125" bestFit="1" customWidth="1"/>
    <col min="9" max="9" width="10.54296875" bestFit="1" customWidth="1"/>
    <col min="10" max="10" width="11.90625" bestFit="1" customWidth="1"/>
    <col min="12" max="12" width="12.6328125" style="57" bestFit="1" customWidth="1"/>
    <col min="13" max="13" width="11.6328125" style="57" customWidth="1"/>
    <col min="14" max="14" width="11.54296875" style="57" customWidth="1"/>
    <col min="15" max="15" width="13.36328125" customWidth="1"/>
  </cols>
  <sheetData>
    <row r="1" spans="1:12" ht="28.5" customHeight="1">
      <c r="A1" s="32"/>
      <c r="B1" s="33" t="s">
        <v>28</v>
      </c>
      <c r="C1" s="33" t="s">
        <v>29</v>
      </c>
      <c r="D1" s="32" t="s">
        <v>30</v>
      </c>
      <c r="E1" s="34" t="s">
        <v>132</v>
      </c>
      <c r="F1" s="35"/>
      <c r="G1" s="36" t="s">
        <v>31</v>
      </c>
      <c r="H1" s="36" t="s">
        <v>32</v>
      </c>
      <c r="I1" s="36" t="s">
        <v>33</v>
      </c>
      <c r="J1" s="36" t="s">
        <v>34</v>
      </c>
      <c r="K1" s="37" t="s">
        <v>35</v>
      </c>
      <c r="L1" s="56"/>
    </row>
    <row r="2" spans="1:12">
      <c r="A2" s="16">
        <v>1</v>
      </c>
      <c r="B2" s="17" t="s">
        <v>8</v>
      </c>
      <c r="C2" s="17" t="s">
        <v>11</v>
      </c>
      <c r="D2" s="16" t="s">
        <v>36</v>
      </c>
      <c r="E2" s="38">
        <v>13.5</v>
      </c>
      <c r="F2" s="18"/>
      <c r="G2" s="39"/>
      <c r="H2" s="39"/>
      <c r="I2" s="39"/>
      <c r="J2" s="39"/>
      <c r="K2" s="40"/>
    </row>
    <row r="3" spans="1:12">
      <c r="A3" s="16">
        <v>2</v>
      </c>
      <c r="B3" s="17" t="s">
        <v>11</v>
      </c>
      <c r="C3" s="17" t="s">
        <v>12</v>
      </c>
      <c r="D3" s="16" t="s">
        <v>36</v>
      </c>
      <c r="E3" s="38">
        <v>15</v>
      </c>
      <c r="F3" s="18"/>
      <c r="G3" s="39"/>
      <c r="H3" s="39"/>
      <c r="I3" s="39"/>
      <c r="J3" s="39"/>
      <c r="K3" s="40"/>
    </row>
    <row r="4" spans="1:12">
      <c r="A4" s="16">
        <v>3</v>
      </c>
      <c r="B4" s="17" t="s">
        <v>12</v>
      </c>
      <c r="C4" s="17" t="s">
        <v>13</v>
      </c>
      <c r="D4" s="16" t="s">
        <v>36</v>
      </c>
      <c r="E4" s="38">
        <v>2.5</v>
      </c>
      <c r="F4" s="18"/>
      <c r="G4" s="39"/>
      <c r="H4" s="39"/>
      <c r="I4" s="39"/>
      <c r="J4" s="39"/>
      <c r="K4" s="40"/>
    </row>
    <row r="5" spans="1:12">
      <c r="A5" s="16">
        <v>4</v>
      </c>
      <c r="B5" s="17" t="s">
        <v>37</v>
      </c>
      <c r="C5" s="17" t="s">
        <v>14</v>
      </c>
      <c r="D5" s="16" t="s">
        <v>36</v>
      </c>
      <c r="E5" s="38">
        <v>20.5</v>
      </c>
      <c r="F5" s="18"/>
      <c r="G5" s="39"/>
      <c r="H5" s="39"/>
      <c r="I5" s="39"/>
      <c r="J5" s="39"/>
      <c r="K5" s="40"/>
    </row>
    <row r="6" spans="1:12">
      <c r="A6" s="16">
        <v>5</v>
      </c>
      <c r="B6" s="17" t="s">
        <v>38</v>
      </c>
      <c r="C6" s="17" t="s">
        <v>15</v>
      </c>
      <c r="D6" s="16" t="s">
        <v>36</v>
      </c>
      <c r="E6" s="38">
        <v>8</v>
      </c>
      <c r="F6" s="18"/>
      <c r="G6" s="39"/>
      <c r="H6" s="39"/>
      <c r="I6" s="39"/>
      <c r="J6" s="39"/>
      <c r="K6" s="40"/>
    </row>
    <row r="7" spans="1:12">
      <c r="A7" s="16">
        <v>6</v>
      </c>
      <c r="B7" s="17" t="s">
        <v>39</v>
      </c>
      <c r="C7" s="17" t="s">
        <v>13</v>
      </c>
      <c r="D7" s="16" t="s">
        <v>36</v>
      </c>
      <c r="E7" s="38">
        <v>31.8</v>
      </c>
      <c r="F7" s="18"/>
      <c r="G7" s="39"/>
      <c r="H7" s="39"/>
      <c r="I7" s="39"/>
      <c r="J7" s="39"/>
      <c r="K7" s="40"/>
    </row>
    <row r="8" spans="1:12">
      <c r="A8" s="16">
        <v>7</v>
      </c>
      <c r="B8" s="17" t="s">
        <v>39</v>
      </c>
      <c r="C8" s="17" t="s">
        <v>16</v>
      </c>
      <c r="D8" s="16" t="s">
        <v>36</v>
      </c>
      <c r="E8" s="38">
        <v>8</v>
      </c>
      <c r="F8" s="18"/>
      <c r="G8" s="39"/>
      <c r="H8" s="39"/>
      <c r="I8" s="39"/>
      <c r="J8" s="39"/>
      <c r="K8" s="40"/>
    </row>
    <row r="9" spans="1:12">
      <c r="A9" s="16">
        <v>8</v>
      </c>
      <c r="B9" s="17" t="s">
        <v>40</v>
      </c>
      <c r="C9" s="17" t="s">
        <v>15</v>
      </c>
      <c r="D9" s="16" t="s">
        <v>36</v>
      </c>
      <c r="E9" s="38">
        <v>36.299999999999997</v>
      </c>
      <c r="F9" s="18"/>
      <c r="G9" s="39"/>
      <c r="H9" s="39"/>
      <c r="I9" s="39"/>
      <c r="J9" s="39"/>
      <c r="K9" s="40"/>
    </row>
    <row r="10" spans="1:12">
      <c r="A10" s="16">
        <v>9</v>
      </c>
      <c r="B10" s="17" t="s">
        <v>40</v>
      </c>
      <c r="C10" s="17" t="s">
        <v>24</v>
      </c>
      <c r="D10" s="16" t="s">
        <v>36</v>
      </c>
      <c r="E10" s="38">
        <v>37</v>
      </c>
      <c r="F10" s="18"/>
      <c r="G10" s="39"/>
      <c r="H10" s="39"/>
      <c r="I10" s="39"/>
      <c r="J10" s="39"/>
      <c r="K10" s="40"/>
    </row>
    <row r="11" spans="1:12">
      <c r="A11" s="16">
        <v>10</v>
      </c>
      <c r="B11" s="17" t="s">
        <v>41</v>
      </c>
      <c r="C11" s="17" t="s">
        <v>26</v>
      </c>
      <c r="D11" s="16" t="s">
        <v>36</v>
      </c>
      <c r="E11" s="38">
        <v>15</v>
      </c>
      <c r="F11" s="18"/>
      <c r="G11" s="39"/>
      <c r="H11" s="39"/>
      <c r="I11" s="39"/>
      <c r="J11" s="39"/>
      <c r="K11" s="40"/>
    </row>
    <row r="12" spans="1:12">
      <c r="A12" s="16">
        <v>11</v>
      </c>
      <c r="B12" s="17" t="s">
        <v>41</v>
      </c>
      <c r="C12" s="17" t="s">
        <v>25</v>
      </c>
      <c r="D12" s="16" t="s">
        <v>36</v>
      </c>
      <c r="E12" s="38">
        <v>17.5</v>
      </c>
      <c r="F12" s="18"/>
      <c r="G12" s="39"/>
      <c r="H12" s="39"/>
      <c r="I12" s="39"/>
      <c r="J12" s="39"/>
      <c r="K12" s="40"/>
    </row>
    <row r="13" spans="1:12">
      <c r="A13" s="16">
        <v>12</v>
      </c>
      <c r="B13" s="17" t="s">
        <v>42</v>
      </c>
      <c r="C13" s="17" t="s">
        <v>22</v>
      </c>
      <c r="D13" s="16" t="s">
        <v>36</v>
      </c>
      <c r="E13" s="38">
        <v>47.6</v>
      </c>
      <c r="F13" s="18"/>
      <c r="G13" s="39"/>
      <c r="H13" s="39"/>
      <c r="I13" s="39"/>
      <c r="J13" s="39"/>
      <c r="K13" s="40"/>
    </row>
    <row r="14" spans="1:12">
      <c r="A14" s="16">
        <v>13</v>
      </c>
      <c r="B14" s="17" t="s">
        <v>43</v>
      </c>
      <c r="C14" s="17" t="s">
        <v>22</v>
      </c>
      <c r="D14" s="16" t="s">
        <v>36</v>
      </c>
      <c r="E14" s="38">
        <v>41.5</v>
      </c>
      <c r="F14" s="5"/>
      <c r="G14" s="39"/>
      <c r="H14" s="39"/>
      <c r="I14" s="39"/>
      <c r="J14" s="39"/>
      <c r="K14" s="40"/>
    </row>
    <row r="15" spans="1:12">
      <c r="A15" s="16">
        <v>14</v>
      </c>
      <c r="B15" s="17" t="s">
        <v>43</v>
      </c>
      <c r="C15" s="17" t="s">
        <v>17</v>
      </c>
      <c r="D15" s="16" t="s">
        <v>36</v>
      </c>
      <c r="E15" s="38">
        <v>44.5</v>
      </c>
      <c r="F15" s="5"/>
      <c r="G15" s="39"/>
      <c r="H15" s="39"/>
      <c r="I15" s="39"/>
      <c r="J15" s="39"/>
      <c r="K15" s="40"/>
    </row>
    <row r="16" spans="1:12">
      <c r="A16" s="16">
        <v>15</v>
      </c>
      <c r="B16" s="17" t="s">
        <v>17</v>
      </c>
      <c r="C16" s="17" t="s">
        <v>21</v>
      </c>
      <c r="D16" s="16" t="s">
        <v>36</v>
      </c>
      <c r="E16" s="38">
        <v>11.1</v>
      </c>
      <c r="F16" s="5"/>
      <c r="G16" s="39"/>
      <c r="H16" s="39"/>
      <c r="I16" s="39"/>
      <c r="J16" s="39"/>
      <c r="K16" s="40"/>
    </row>
    <row r="17" spans="1:11">
      <c r="A17" s="16">
        <v>16</v>
      </c>
      <c r="B17" s="17" t="s">
        <v>21</v>
      </c>
      <c r="C17" s="17" t="s">
        <v>22</v>
      </c>
      <c r="D17" s="16" t="s">
        <v>36</v>
      </c>
      <c r="E17" s="38">
        <v>20.8</v>
      </c>
      <c r="F17" s="5"/>
      <c r="G17" s="39"/>
      <c r="H17" s="39"/>
      <c r="I17" s="39"/>
      <c r="J17" s="39"/>
      <c r="K17" s="40"/>
    </row>
    <row r="18" spans="1:11">
      <c r="A18" s="16">
        <v>17</v>
      </c>
      <c r="B18" s="17" t="s">
        <v>22</v>
      </c>
      <c r="C18" s="17" t="s">
        <v>23</v>
      </c>
      <c r="D18" s="16" t="s">
        <v>36</v>
      </c>
      <c r="E18" s="38">
        <v>30</v>
      </c>
      <c r="F18" s="5"/>
      <c r="G18" s="39"/>
      <c r="H18" s="39"/>
      <c r="I18" s="39"/>
      <c r="J18" s="39"/>
      <c r="K18" s="40"/>
    </row>
    <row r="19" spans="1:11">
      <c r="A19" s="16">
        <v>18</v>
      </c>
      <c r="B19" s="17" t="s">
        <v>17</v>
      </c>
      <c r="C19" s="17" t="s">
        <v>18</v>
      </c>
      <c r="D19" s="16" t="s">
        <v>36</v>
      </c>
      <c r="E19" s="38">
        <v>1.9</v>
      </c>
      <c r="F19" s="5"/>
      <c r="G19" s="39"/>
      <c r="H19" s="39"/>
      <c r="I19" s="39"/>
      <c r="J19" s="39"/>
      <c r="K19" s="40"/>
    </row>
    <row r="20" spans="1:11">
      <c r="A20" s="16">
        <v>19</v>
      </c>
      <c r="B20" s="17" t="s">
        <v>17</v>
      </c>
      <c r="C20" s="17" t="s">
        <v>19</v>
      </c>
      <c r="D20" s="16" t="s">
        <v>36</v>
      </c>
      <c r="E20" s="38">
        <v>4.9000000000000004</v>
      </c>
      <c r="F20" s="5"/>
      <c r="G20" s="39"/>
      <c r="H20" s="39"/>
      <c r="I20" s="39"/>
      <c r="J20" s="39"/>
      <c r="K20" s="40"/>
    </row>
    <row r="21" spans="1:11">
      <c r="A21" s="16">
        <v>20</v>
      </c>
      <c r="B21" s="17" t="s">
        <v>18</v>
      </c>
      <c r="C21" s="17" t="s">
        <v>19</v>
      </c>
      <c r="D21" s="16" t="s">
        <v>36</v>
      </c>
      <c r="E21" s="38">
        <v>4</v>
      </c>
      <c r="F21" s="41"/>
      <c r="G21" s="39"/>
      <c r="H21" s="39"/>
      <c r="I21" s="39"/>
      <c r="J21" s="39"/>
      <c r="K21" s="40"/>
    </row>
    <row r="22" spans="1:11">
      <c r="A22" s="16">
        <v>21</v>
      </c>
      <c r="B22" s="17" t="s">
        <v>20</v>
      </c>
      <c r="C22" s="17" t="s">
        <v>19</v>
      </c>
      <c r="D22" s="16" t="s">
        <v>44</v>
      </c>
      <c r="E22" s="38">
        <v>4</v>
      </c>
      <c r="F22" s="18"/>
      <c r="G22" s="39"/>
      <c r="H22" s="39"/>
      <c r="I22" s="39"/>
      <c r="J22" s="39"/>
      <c r="K22" s="40"/>
    </row>
    <row r="23" spans="1:11">
      <c r="A23" s="16">
        <v>22</v>
      </c>
      <c r="B23" s="17" t="s">
        <v>27</v>
      </c>
      <c r="C23" s="17" t="s">
        <v>8</v>
      </c>
      <c r="D23" s="16" t="s">
        <v>36</v>
      </c>
      <c r="E23" s="38">
        <v>28</v>
      </c>
      <c r="F23" s="18"/>
      <c r="G23" s="39"/>
      <c r="H23" s="39"/>
      <c r="I23" s="39"/>
      <c r="J23" s="39"/>
      <c r="K23" s="40"/>
    </row>
    <row r="24" spans="1:11">
      <c r="A24" s="16">
        <v>23</v>
      </c>
      <c r="B24" s="17" t="s">
        <v>130</v>
      </c>
      <c r="C24" s="17" t="s">
        <v>131</v>
      </c>
      <c r="D24" s="16" t="s">
        <v>71</v>
      </c>
      <c r="E24" s="38">
        <v>65.2</v>
      </c>
      <c r="F24" s="18"/>
      <c r="G24" s="39"/>
      <c r="H24" s="39"/>
      <c r="I24" s="39"/>
      <c r="J24" s="39"/>
      <c r="K24" s="40"/>
    </row>
    <row r="25" spans="1:11">
      <c r="A25" s="16">
        <v>24</v>
      </c>
      <c r="B25" s="17" t="s">
        <v>130</v>
      </c>
      <c r="C25" s="17" t="s">
        <v>8</v>
      </c>
      <c r="D25" s="16" t="s">
        <v>46</v>
      </c>
      <c r="E25" s="38">
        <v>0</v>
      </c>
      <c r="F25" s="18"/>
      <c r="G25" s="39"/>
      <c r="H25" s="39"/>
      <c r="I25" s="39"/>
      <c r="J25" s="39"/>
      <c r="K25" s="40"/>
    </row>
    <row r="26" spans="1:11">
      <c r="A26" s="16">
        <v>25</v>
      </c>
      <c r="B26" s="17" t="s">
        <v>131</v>
      </c>
      <c r="C26" s="17" t="s">
        <v>17</v>
      </c>
      <c r="D26" s="16" t="s">
        <v>47</v>
      </c>
      <c r="E26" s="38">
        <v>0</v>
      </c>
      <c r="F26" s="18"/>
      <c r="G26" s="39"/>
      <c r="H26" s="39"/>
      <c r="I26" s="39"/>
      <c r="J26" s="39"/>
      <c r="K26" s="40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"/>
  <sheetViews>
    <sheetView workbookViewId="0">
      <selection activeCell="D14" sqref="D14"/>
    </sheetView>
  </sheetViews>
  <sheetFormatPr defaultRowHeight="14.5"/>
  <cols>
    <col min="1" max="1" width="2.6328125" bestFit="1" customWidth="1"/>
    <col min="2" max="2" width="18" customWidth="1"/>
    <col min="3" max="4" width="12.54296875" customWidth="1"/>
    <col min="5" max="6" width="15" bestFit="1" customWidth="1"/>
    <col min="7" max="8" width="14.90625" style="58" bestFit="1" customWidth="1"/>
    <col min="9" max="9" width="11.54296875" style="58" bestFit="1" customWidth="1"/>
    <col min="10" max="10" width="11" customWidth="1"/>
    <col min="11" max="11" width="13.54296875" bestFit="1" customWidth="1"/>
    <col min="12" max="12" width="15.08984375" bestFit="1" customWidth="1"/>
    <col min="13" max="13" width="13" customWidth="1"/>
  </cols>
  <sheetData>
    <row r="1" spans="1:13" ht="16">
      <c r="A1" s="3" t="s">
        <v>0</v>
      </c>
      <c r="B1" s="2" t="s">
        <v>48</v>
      </c>
      <c r="C1" s="3" t="s">
        <v>125</v>
      </c>
      <c r="D1" s="3" t="s">
        <v>124</v>
      </c>
      <c r="E1" s="3" t="s">
        <v>123</v>
      </c>
      <c r="F1" s="3" t="s">
        <v>122</v>
      </c>
      <c r="G1" s="54" t="s">
        <v>49</v>
      </c>
      <c r="H1" s="54" t="s">
        <v>126</v>
      </c>
      <c r="I1" s="54" t="s">
        <v>127</v>
      </c>
      <c r="J1" s="3"/>
      <c r="K1" s="54"/>
      <c r="L1" s="8"/>
      <c r="M1" s="54"/>
    </row>
    <row r="2" spans="1:13">
      <c r="A2" s="5">
        <v>1</v>
      </c>
      <c r="B2" s="17" t="s">
        <v>41</v>
      </c>
      <c r="C2" s="18">
        <v>100</v>
      </c>
      <c r="D2" s="18">
        <f t="shared" ref="D2:D4" si="0">0.3*C2</f>
        <v>30</v>
      </c>
      <c r="E2" s="18">
        <v>-1000</v>
      </c>
      <c r="F2" s="18">
        <v>1000</v>
      </c>
      <c r="G2" s="18">
        <v>116</v>
      </c>
      <c r="H2" s="18">
        <v>33.180450464941593</v>
      </c>
      <c r="I2" s="18">
        <v>115.99999999999999</v>
      </c>
      <c r="J2" s="18"/>
      <c r="K2" s="18"/>
      <c r="L2" s="18"/>
      <c r="M2" s="18"/>
    </row>
    <row r="3" spans="1:13">
      <c r="A3" s="5">
        <v>2</v>
      </c>
      <c r="B3" s="17" t="s">
        <v>50</v>
      </c>
      <c r="C3" s="18">
        <v>165</v>
      </c>
      <c r="D3" s="18">
        <f t="shared" si="0"/>
        <v>49.5</v>
      </c>
      <c r="E3" s="18">
        <v>-1000</v>
      </c>
      <c r="F3" s="18">
        <v>1000</v>
      </c>
      <c r="G3" s="18">
        <v>115</v>
      </c>
      <c r="H3" s="18">
        <v>95.035587541746949</v>
      </c>
      <c r="I3" s="18">
        <v>115</v>
      </c>
      <c r="J3" s="18"/>
      <c r="K3" s="18"/>
      <c r="L3" s="18"/>
      <c r="M3" s="18"/>
    </row>
    <row r="4" spans="1:13">
      <c r="A4" s="5">
        <v>3</v>
      </c>
      <c r="B4" s="17" t="s">
        <v>51</v>
      </c>
      <c r="C4" s="18">
        <v>80</v>
      </c>
      <c r="D4" s="18">
        <f t="shared" si="0"/>
        <v>24</v>
      </c>
      <c r="E4" s="18">
        <v>-1000</v>
      </c>
      <c r="F4" s="18">
        <v>1000</v>
      </c>
      <c r="G4" s="18">
        <v>116</v>
      </c>
      <c r="H4" s="18">
        <v>22.206185330441464</v>
      </c>
      <c r="I4" s="18">
        <v>115.99999999999999</v>
      </c>
      <c r="J4" s="18"/>
      <c r="K4" s="18"/>
      <c r="L4" s="18"/>
      <c r="M4" s="18"/>
    </row>
    <row r="5" spans="1:13">
      <c r="A5" s="5">
        <v>4</v>
      </c>
      <c r="B5" s="17" t="s">
        <v>52</v>
      </c>
      <c r="C5" s="18">
        <v>52.7</v>
      </c>
      <c r="D5" s="18">
        <f>0.3*C5</f>
        <v>15.81</v>
      </c>
      <c r="E5" s="18">
        <v>-1000</v>
      </c>
      <c r="F5" s="18">
        <v>1000</v>
      </c>
      <c r="G5" s="18">
        <v>0</v>
      </c>
      <c r="H5" s="18">
        <v>15.810000305778637</v>
      </c>
      <c r="I5" s="18">
        <v>116.02627662918951</v>
      </c>
      <c r="J5" s="18"/>
      <c r="K5" s="18"/>
      <c r="L5" s="18"/>
      <c r="M5" s="18"/>
    </row>
    <row r="6" spans="1:13">
      <c r="A6" s="5"/>
      <c r="B6" s="17"/>
      <c r="C6" s="18"/>
      <c r="D6" s="18"/>
      <c r="E6" s="18"/>
      <c r="F6" s="18"/>
      <c r="G6" s="38"/>
      <c r="H6" s="38"/>
      <c r="I6" s="38"/>
      <c r="J6" s="5"/>
      <c r="K6" s="5"/>
      <c r="L6" s="23"/>
    </row>
    <row r="7" spans="1:13">
      <c r="A7" s="5"/>
      <c r="B7" s="28" t="s">
        <v>53</v>
      </c>
      <c r="C7" s="22">
        <v>101.09036364083457</v>
      </c>
      <c r="D7" s="22">
        <v>25.020331900934384</v>
      </c>
      <c r="E7" s="22"/>
      <c r="F7" s="22"/>
      <c r="G7" s="59"/>
      <c r="H7" s="59"/>
      <c r="I7" s="59"/>
      <c r="J7" s="22"/>
      <c r="K7" s="22"/>
      <c r="L7" s="22"/>
    </row>
    <row r="8" spans="1:13">
      <c r="A8" s="5"/>
      <c r="B8" s="42" t="s">
        <v>54</v>
      </c>
      <c r="C8" s="22">
        <v>8.0903657749356039</v>
      </c>
      <c r="D8" s="22">
        <v>13.552560754463567</v>
      </c>
      <c r="E8" s="22"/>
      <c r="F8" s="22"/>
      <c r="G8" s="38"/>
      <c r="H8" s="38"/>
      <c r="I8" s="38"/>
      <c r="J8" s="5"/>
      <c r="K8" s="5"/>
      <c r="L8" s="23"/>
    </row>
  </sheetData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E2"/>
  <sheetViews>
    <sheetView workbookViewId="0">
      <selection activeCell="C2" sqref="C2"/>
    </sheetView>
  </sheetViews>
  <sheetFormatPr defaultRowHeight="14.5"/>
  <cols>
    <col min="1" max="1" width="2.6328125" bestFit="1" customWidth="1"/>
    <col min="2" max="2" width="14.54296875" bestFit="1" customWidth="1"/>
    <col min="3" max="3" width="11.36328125" bestFit="1" customWidth="1"/>
    <col min="4" max="4" width="15.08984375" bestFit="1" customWidth="1"/>
  </cols>
  <sheetData>
    <row r="1" spans="1:5" ht="16">
      <c r="A1" s="3" t="s">
        <v>0</v>
      </c>
      <c r="B1" s="2" t="s">
        <v>48</v>
      </c>
      <c r="C1" s="3" t="s">
        <v>128</v>
      </c>
      <c r="D1" s="3" t="s">
        <v>129</v>
      </c>
      <c r="E1" s="3"/>
    </row>
    <row r="2" spans="1:5">
      <c r="A2" s="5">
        <v>-1</v>
      </c>
      <c r="B2" s="17" t="s">
        <v>15</v>
      </c>
      <c r="C2" s="18">
        <v>20</v>
      </c>
      <c r="D2" s="18"/>
      <c r="E2" s="18"/>
    </row>
  </sheetData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20"/>
  <sheetViews>
    <sheetView workbookViewId="0">
      <selection activeCell="A11" sqref="A11:XFD11"/>
    </sheetView>
  </sheetViews>
  <sheetFormatPr defaultColWidth="10.36328125" defaultRowHeight="14.5"/>
  <cols>
    <col min="1" max="1" width="4.54296875" style="48" bestFit="1" customWidth="1"/>
    <col min="2" max="2" width="8" style="48" bestFit="1" customWidth="1"/>
    <col min="3" max="3" width="18.453125" style="48" customWidth="1"/>
    <col min="4" max="4" width="9" style="48" bestFit="1" customWidth="1"/>
    <col min="5" max="5" width="9.36328125" style="48" bestFit="1" customWidth="1"/>
    <col min="6" max="6" width="9.453125" style="48" bestFit="1" customWidth="1"/>
    <col min="7" max="7" width="6.36328125" style="48" bestFit="1" customWidth="1"/>
    <col min="8" max="8" width="23.08984375" style="48" bestFit="1" customWidth="1"/>
    <col min="9" max="16384" width="10.36328125" style="48"/>
  </cols>
  <sheetData>
    <row r="1" spans="1:8" ht="16">
      <c r="A1" s="47" t="s">
        <v>0</v>
      </c>
      <c r="B1" s="3" t="s">
        <v>113</v>
      </c>
      <c r="C1" s="43" t="s">
        <v>55</v>
      </c>
      <c r="D1" s="3" t="s">
        <v>114</v>
      </c>
      <c r="E1" s="3" t="s">
        <v>115</v>
      </c>
      <c r="F1" s="3" t="s">
        <v>116</v>
      </c>
      <c r="G1" s="3" t="s">
        <v>117</v>
      </c>
      <c r="H1" s="43" t="s">
        <v>56</v>
      </c>
    </row>
    <row r="2" spans="1:8">
      <c r="A2" s="45">
        <v>1</v>
      </c>
      <c r="B2" s="45">
        <v>110</v>
      </c>
      <c r="C2" s="46" t="s">
        <v>57</v>
      </c>
      <c r="D2" s="44">
        <v>0.19400000000000001</v>
      </c>
      <c r="E2" s="44">
        <v>0.42399999999999999</v>
      </c>
      <c r="F2" s="44">
        <v>2.67</v>
      </c>
      <c r="G2" s="45">
        <v>470</v>
      </c>
      <c r="H2" s="49" t="s">
        <v>58</v>
      </c>
    </row>
    <row r="3" spans="1:8">
      <c r="A3" s="45">
        <v>2</v>
      </c>
      <c r="B3" s="45">
        <v>110</v>
      </c>
      <c r="C3" s="46" t="s">
        <v>36</v>
      </c>
      <c r="D3" s="44">
        <v>0.11899999999999999</v>
      </c>
      <c r="E3" s="44">
        <v>0.40899999999999997</v>
      </c>
      <c r="F3" s="44">
        <v>2.77</v>
      </c>
      <c r="G3" s="45">
        <v>645</v>
      </c>
      <c r="H3" s="49" t="s">
        <v>59</v>
      </c>
    </row>
    <row r="4" spans="1:8">
      <c r="A4" s="45">
        <v>3</v>
      </c>
      <c r="B4" s="45">
        <v>110</v>
      </c>
      <c r="C4" s="46" t="s">
        <v>60</v>
      </c>
      <c r="D4" s="44">
        <v>0.06</v>
      </c>
      <c r="E4" s="44">
        <v>0.35</v>
      </c>
      <c r="F4" s="44">
        <v>3.24</v>
      </c>
      <c r="G4" s="45">
        <v>1290</v>
      </c>
      <c r="H4" s="49" t="s">
        <v>61</v>
      </c>
    </row>
    <row r="5" spans="1:8">
      <c r="A5" s="45">
        <v>4</v>
      </c>
      <c r="B5" s="45">
        <v>110</v>
      </c>
      <c r="C5" s="46" t="s">
        <v>62</v>
      </c>
      <c r="D5" s="44">
        <v>0.08</v>
      </c>
      <c r="E5" s="44">
        <v>0.39700000000000002</v>
      </c>
      <c r="F5" s="44">
        <v>2.86</v>
      </c>
      <c r="G5" s="45">
        <v>810</v>
      </c>
      <c r="H5" s="49" t="s">
        <v>63</v>
      </c>
    </row>
    <row r="6" spans="1:8">
      <c r="A6" s="45">
        <v>5</v>
      </c>
      <c r="B6" s="45">
        <v>110</v>
      </c>
      <c r="C6" s="46" t="s">
        <v>64</v>
      </c>
      <c r="D6" s="44">
        <v>5.8999999999999997E-2</v>
      </c>
      <c r="E6" s="44">
        <v>0.38800000000000001</v>
      </c>
      <c r="F6" s="44">
        <v>2.93</v>
      </c>
      <c r="G6" s="45">
        <v>960</v>
      </c>
      <c r="H6" s="49" t="s">
        <v>65</v>
      </c>
    </row>
    <row r="7" spans="1:8">
      <c r="A7" s="45">
        <v>6</v>
      </c>
      <c r="B7" s="45">
        <v>110</v>
      </c>
      <c r="C7" s="46" t="s">
        <v>66</v>
      </c>
      <c r="D7" s="44">
        <v>0.06</v>
      </c>
      <c r="E7" s="44">
        <v>0.19</v>
      </c>
      <c r="F7" s="44">
        <v>5.98</v>
      </c>
      <c r="G7" s="45">
        <v>1290</v>
      </c>
      <c r="H7" s="49" t="s">
        <v>67</v>
      </c>
    </row>
    <row r="8" spans="1:8">
      <c r="A8" s="45">
        <v>7</v>
      </c>
      <c r="B8" s="45">
        <v>110</v>
      </c>
      <c r="C8" s="46" t="s">
        <v>68</v>
      </c>
      <c r="D8" s="44">
        <v>0.11899999999999999</v>
      </c>
      <c r="E8" s="44">
        <v>0.40899999999999997</v>
      </c>
      <c r="F8" s="44">
        <v>2.77</v>
      </c>
      <c r="G8" s="45">
        <v>645</v>
      </c>
      <c r="H8" s="49" t="s">
        <v>69</v>
      </c>
    </row>
    <row r="9" spans="1:8">
      <c r="A9" s="45">
        <v>8</v>
      </c>
      <c r="B9" s="45">
        <v>110</v>
      </c>
      <c r="C9" s="46" t="s">
        <v>44</v>
      </c>
      <c r="D9" s="44">
        <v>0.04</v>
      </c>
      <c r="E9" s="44">
        <v>0.184</v>
      </c>
      <c r="F9" s="44">
        <v>6.19</v>
      </c>
      <c r="G9" s="45">
        <v>1620</v>
      </c>
      <c r="H9" s="49" t="s">
        <v>70</v>
      </c>
    </row>
    <row r="10" spans="1:8">
      <c r="A10" s="45">
        <v>9</v>
      </c>
      <c r="B10" s="45">
        <v>110</v>
      </c>
      <c r="C10" s="46" t="s">
        <v>45</v>
      </c>
      <c r="D10" s="44">
        <v>0.08</v>
      </c>
      <c r="E10" s="44">
        <v>0.42</v>
      </c>
      <c r="F10" s="44">
        <v>2.7</v>
      </c>
      <c r="G10" s="45">
        <v>810</v>
      </c>
      <c r="H10" s="49" t="s">
        <v>63</v>
      </c>
    </row>
    <row r="11" spans="1:8">
      <c r="A11" s="45">
        <v>10</v>
      </c>
      <c r="B11" s="45">
        <v>220</v>
      </c>
      <c r="C11" s="46" t="s">
        <v>71</v>
      </c>
      <c r="D11" s="44">
        <v>5.8999999999999997E-2</v>
      </c>
      <c r="E11" s="44">
        <v>0.42699999999999999</v>
      </c>
      <c r="F11" s="44">
        <v>2.66</v>
      </c>
      <c r="G11" s="45">
        <v>960</v>
      </c>
      <c r="H11" s="49" t="s">
        <v>65</v>
      </c>
    </row>
    <row r="12" spans="1:8">
      <c r="A12" s="45">
        <v>11</v>
      </c>
      <c r="B12" s="45">
        <v>110</v>
      </c>
      <c r="C12" s="46" t="s">
        <v>72</v>
      </c>
      <c r="D12" s="44">
        <v>0.21</v>
      </c>
      <c r="E12" s="44">
        <v>0.40600000000000003</v>
      </c>
      <c r="F12" s="44">
        <v>2.79</v>
      </c>
      <c r="G12" s="45">
        <v>470</v>
      </c>
      <c r="H12" s="49" t="s">
        <v>73</v>
      </c>
    </row>
    <row r="13" spans="1:8">
      <c r="A13" s="45">
        <v>12</v>
      </c>
      <c r="B13" s="45">
        <v>110</v>
      </c>
      <c r="C13" s="46" t="s">
        <v>74</v>
      </c>
      <c r="D13" s="44">
        <v>0.129</v>
      </c>
      <c r="E13" s="44">
        <v>0.39400000000000002</v>
      </c>
      <c r="F13" s="44">
        <v>2.9</v>
      </c>
      <c r="G13" s="45">
        <v>645</v>
      </c>
      <c r="H13" s="49" t="s">
        <v>75</v>
      </c>
    </row>
    <row r="14" spans="1:8">
      <c r="A14" s="45">
        <v>13</v>
      </c>
      <c r="B14" s="45">
        <v>10</v>
      </c>
      <c r="C14" s="46" t="s">
        <v>76</v>
      </c>
      <c r="D14" s="44">
        <v>1.2030000000000001</v>
      </c>
      <c r="E14" s="44">
        <v>0.38</v>
      </c>
      <c r="F14" s="44">
        <v>2.87</v>
      </c>
      <c r="G14" s="45">
        <v>125</v>
      </c>
      <c r="H14" s="49" t="s">
        <v>77</v>
      </c>
    </row>
    <row r="15" spans="1:8">
      <c r="A15" s="45">
        <v>14</v>
      </c>
      <c r="B15" s="45">
        <v>10</v>
      </c>
      <c r="C15" s="46" t="s">
        <v>78</v>
      </c>
      <c r="D15" s="44">
        <v>0.83499999999999996</v>
      </c>
      <c r="E15" s="44">
        <v>0.37</v>
      </c>
      <c r="F15" s="44">
        <v>2.96</v>
      </c>
      <c r="G15" s="45">
        <v>145</v>
      </c>
      <c r="H15" s="49" t="s">
        <v>79</v>
      </c>
    </row>
    <row r="16" spans="1:8">
      <c r="A16" s="45">
        <v>15</v>
      </c>
      <c r="B16" s="45">
        <v>10</v>
      </c>
      <c r="C16" s="46" t="s">
        <v>80</v>
      </c>
      <c r="D16" s="44">
        <v>0.59499999999999997</v>
      </c>
      <c r="E16" s="44">
        <v>0.36</v>
      </c>
      <c r="F16" s="44">
        <v>3.04</v>
      </c>
      <c r="G16" s="45">
        <v>170</v>
      </c>
      <c r="H16" s="49" t="s">
        <v>81</v>
      </c>
    </row>
    <row r="17" spans="1:8">
      <c r="A17" s="45">
        <v>16</v>
      </c>
      <c r="B17" s="45">
        <v>10</v>
      </c>
      <c r="C17" s="46" t="s">
        <v>82</v>
      </c>
      <c r="D17" s="44">
        <v>1.135</v>
      </c>
      <c r="E17" s="44">
        <v>0.38</v>
      </c>
      <c r="F17" s="44">
        <v>2.87</v>
      </c>
      <c r="G17" s="45">
        <v>125</v>
      </c>
      <c r="H17" s="49" t="s">
        <v>83</v>
      </c>
    </row>
    <row r="18" spans="1:8">
      <c r="A18" s="45">
        <v>17</v>
      </c>
      <c r="B18" s="45">
        <v>10</v>
      </c>
      <c r="C18" s="46" t="s">
        <v>84</v>
      </c>
      <c r="D18" s="44">
        <v>0.83499999999999996</v>
      </c>
      <c r="E18" s="44">
        <v>0.37</v>
      </c>
      <c r="F18" s="44">
        <v>2.96</v>
      </c>
      <c r="G18" s="45">
        <v>145</v>
      </c>
      <c r="H18" s="49" t="s">
        <v>85</v>
      </c>
    </row>
    <row r="19" spans="1:8">
      <c r="A19" s="45">
        <v>18</v>
      </c>
      <c r="B19" s="45">
        <v>10</v>
      </c>
      <c r="C19" s="46" t="s">
        <v>86</v>
      </c>
      <c r="D19" s="44">
        <v>0.20599999999999999</v>
      </c>
      <c r="E19" s="44">
        <v>0.08</v>
      </c>
      <c r="F19" s="44">
        <v>0.5</v>
      </c>
      <c r="G19" s="45">
        <v>255</v>
      </c>
      <c r="H19" s="49" t="s">
        <v>87</v>
      </c>
    </row>
    <row r="20" spans="1:8">
      <c r="A20" s="45">
        <v>19</v>
      </c>
      <c r="B20" s="45">
        <v>110</v>
      </c>
      <c r="C20" s="46" t="s">
        <v>88</v>
      </c>
      <c r="D20" s="44">
        <v>0.121</v>
      </c>
      <c r="E20" s="44">
        <v>0.36299999999999999</v>
      </c>
      <c r="F20" s="44">
        <v>0</v>
      </c>
      <c r="G20" s="45">
        <v>645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22"/>
  <sheetViews>
    <sheetView workbookViewId="0">
      <selection activeCell="I2" sqref="I2"/>
    </sheetView>
  </sheetViews>
  <sheetFormatPr defaultColWidth="9.08984375" defaultRowHeight="14.5"/>
  <cols>
    <col min="1" max="1" width="4.54296875" style="48" bestFit="1" customWidth="1"/>
    <col min="2" max="2" width="14.6328125" style="48" customWidth="1"/>
    <col min="3" max="16384" width="9.08984375" style="48"/>
  </cols>
  <sheetData>
    <row r="1" spans="1:9">
      <c r="A1" s="47" t="s">
        <v>0</v>
      </c>
      <c r="B1" s="47" t="s">
        <v>55</v>
      </c>
      <c r="C1" s="47" t="s">
        <v>89</v>
      </c>
      <c r="D1" s="47" t="s">
        <v>90</v>
      </c>
      <c r="E1" s="47" t="s">
        <v>91</v>
      </c>
      <c r="F1" s="47" t="s">
        <v>92</v>
      </c>
      <c r="G1" s="47" t="s">
        <v>93</v>
      </c>
      <c r="H1" s="50" t="s">
        <v>118</v>
      </c>
      <c r="I1" s="50" t="s">
        <v>119</v>
      </c>
    </row>
    <row r="2" spans="1:9">
      <c r="A2" s="45">
        <v>1</v>
      </c>
      <c r="B2" s="46" t="s">
        <v>46</v>
      </c>
      <c r="C2" s="45">
        <v>231</v>
      </c>
      <c r="D2" s="51">
        <v>115</v>
      </c>
      <c r="E2" s="51">
        <v>150</v>
      </c>
      <c r="F2" s="51">
        <v>11</v>
      </c>
      <c r="G2" s="51">
        <v>0.6</v>
      </c>
      <c r="H2" s="51">
        <v>211</v>
      </c>
      <c r="I2" s="51">
        <v>36</v>
      </c>
    </row>
    <row r="3" spans="1:9">
      <c r="A3" s="45">
        <v>2</v>
      </c>
      <c r="B3" s="46" t="s">
        <v>47</v>
      </c>
      <c r="C3" s="45">
        <v>231</v>
      </c>
      <c r="D3" s="51">
        <v>115</v>
      </c>
      <c r="E3" s="51">
        <v>450</v>
      </c>
      <c r="F3" s="51">
        <v>15</v>
      </c>
      <c r="G3" s="51">
        <v>0.6</v>
      </c>
      <c r="H3" s="51">
        <v>633</v>
      </c>
      <c r="I3" s="51">
        <v>108</v>
      </c>
    </row>
    <row r="4" spans="1:9">
      <c r="A4" s="45">
        <v>3</v>
      </c>
      <c r="B4" s="46" t="s">
        <v>94</v>
      </c>
      <c r="C4" s="45">
        <v>115</v>
      </c>
      <c r="D4" s="51">
        <v>11</v>
      </c>
      <c r="E4" s="51">
        <v>10</v>
      </c>
      <c r="F4" s="51">
        <v>10.5</v>
      </c>
      <c r="G4" s="51">
        <v>0.7</v>
      </c>
      <c r="H4" s="51">
        <v>60</v>
      </c>
      <c r="I4" s="51">
        <v>14</v>
      </c>
    </row>
    <row r="5" spans="1:9">
      <c r="A5" s="45">
        <v>4</v>
      </c>
      <c r="B5" s="46" t="s">
        <v>95</v>
      </c>
      <c r="C5" s="45">
        <v>115</v>
      </c>
      <c r="D5" s="51">
        <v>11</v>
      </c>
      <c r="E5" s="51">
        <v>16</v>
      </c>
      <c r="F5" s="51">
        <v>10.5</v>
      </c>
      <c r="G5" s="51">
        <v>0.7</v>
      </c>
      <c r="H5" s="51">
        <v>85</v>
      </c>
      <c r="I5" s="51">
        <v>19</v>
      </c>
    </row>
    <row r="6" spans="1:9">
      <c r="A6" s="45">
        <v>5</v>
      </c>
      <c r="B6" s="46" t="s">
        <v>96</v>
      </c>
      <c r="C6" s="45">
        <v>115</v>
      </c>
      <c r="D6" s="51">
        <v>10.5</v>
      </c>
      <c r="E6" s="51">
        <v>25</v>
      </c>
      <c r="F6" s="51">
        <v>10.5</v>
      </c>
      <c r="G6" s="51">
        <v>0.7</v>
      </c>
      <c r="H6" s="51">
        <v>120</v>
      </c>
      <c r="I6" s="51">
        <v>27</v>
      </c>
    </row>
    <row r="7" spans="1:9">
      <c r="A7" s="45">
        <v>6</v>
      </c>
      <c r="B7" s="46" t="s">
        <v>97</v>
      </c>
      <c r="C7" s="45">
        <v>115</v>
      </c>
      <c r="D7" s="51">
        <v>6.3</v>
      </c>
      <c r="E7" s="51">
        <v>40</v>
      </c>
      <c r="F7" s="51">
        <v>10.5</v>
      </c>
      <c r="G7" s="51">
        <v>0.65</v>
      </c>
      <c r="H7" s="51">
        <v>172</v>
      </c>
      <c r="I7" s="51">
        <v>36</v>
      </c>
    </row>
    <row r="8" spans="1:9">
      <c r="A8" s="45">
        <v>7</v>
      </c>
      <c r="B8" s="46" t="s">
        <v>98</v>
      </c>
      <c r="C8" s="45">
        <v>115</v>
      </c>
      <c r="D8" s="51">
        <v>10.5</v>
      </c>
      <c r="E8" s="51">
        <v>63</v>
      </c>
      <c r="F8" s="51">
        <v>10.5</v>
      </c>
      <c r="G8" s="51">
        <v>0.6</v>
      </c>
      <c r="H8" s="51">
        <v>250</v>
      </c>
      <c r="I8" s="51">
        <v>51</v>
      </c>
    </row>
    <row r="9" spans="1:9">
      <c r="A9" s="45">
        <v>8</v>
      </c>
      <c r="B9" s="46" t="s">
        <v>99</v>
      </c>
      <c r="C9" s="45">
        <v>110</v>
      </c>
      <c r="D9" s="51">
        <v>11</v>
      </c>
      <c r="E9" s="51">
        <v>16</v>
      </c>
      <c r="F9" s="51">
        <v>10.5</v>
      </c>
      <c r="G9" s="51">
        <v>1.5</v>
      </c>
      <c r="H9" s="51">
        <v>100</v>
      </c>
      <c r="I9" s="51">
        <v>26</v>
      </c>
    </row>
    <row r="10" spans="1:9">
      <c r="A10" s="45">
        <v>9</v>
      </c>
      <c r="B10" s="46" t="s">
        <v>100</v>
      </c>
      <c r="C10" s="45">
        <v>110</v>
      </c>
      <c r="D10" s="51">
        <v>38.5</v>
      </c>
      <c r="E10" s="51">
        <v>25</v>
      </c>
      <c r="F10" s="51">
        <v>10</v>
      </c>
      <c r="G10" s="51">
        <v>1.2</v>
      </c>
      <c r="H10" s="51">
        <v>150</v>
      </c>
      <c r="I10" s="51">
        <v>40</v>
      </c>
    </row>
    <row r="11" spans="1:9">
      <c r="A11" s="45">
        <v>10</v>
      </c>
      <c r="B11" s="46" t="s">
        <v>101</v>
      </c>
      <c r="C11" s="45">
        <v>110</v>
      </c>
      <c r="D11" s="51">
        <v>38.5</v>
      </c>
      <c r="E11" s="51">
        <v>31.5</v>
      </c>
      <c r="F11" s="51">
        <v>18.2</v>
      </c>
      <c r="G11" s="51">
        <v>1.5</v>
      </c>
      <c r="H11" s="51">
        <v>200</v>
      </c>
      <c r="I11" s="51">
        <v>55</v>
      </c>
    </row>
    <row r="12" spans="1:9">
      <c r="A12" s="45">
        <v>11</v>
      </c>
      <c r="B12" s="46" t="s">
        <v>102</v>
      </c>
      <c r="C12" s="45">
        <v>110</v>
      </c>
      <c r="D12" s="51">
        <v>10.5</v>
      </c>
      <c r="E12" s="51">
        <v>40</v>
      </c>
      <c r="F12" s="51">
        <v>11</v>
      </c>
      <c r="G12" s="51">
        <v>1.5</v>
      </c>
      <c r="H12" s="51">
        <v>220</v>
      </c>
      <c r="I12" s="51">
        <v>55</v>
      </c>
    </row>
    <row r="13" spans="1:9">
      <c r="A13" s="45">
        <v>12</v>
      </c>
      <c r="B13" s="46" t="s">
        <v>103</v>
      </c>
      <c r="C13" s="45">
        <v>110</v>
      </c>
      <c r="D13" s="51">
        <v>38.5</v>
      </c>
      <c r="E13" s="51">
        <v>63</v>
      </c>
      <c r="F13" s="51">
        <v>16.5</v>
      </c>
      <c r="G13" s="51">
        <v>0.85</v>
      </c>
      <c r="H13" s="51">
        <v>310</v>
      </c>
      <c r="I13" s="51">
        <v>70</v>
      </c>
    </row>
    <row r="14" spans="1:9">
      <c r="A14" s="45">
        <v>13</v>
      </c>
      <c r="B14" s="46" t="s">
        <v>104</v>
      </c>
      <c r="C14" s="45">
        <v>10</v>
      </c>
      <c r="D14" s="51">
        <v>0.4</v>
      </c>
      <c r="E14" s="51">
        <v>0.05</v>
      </c>
      <c r="F14" s="51">
        <v>4</v>
      </c>
      <c r="G14" s="51">
        <v>2.2999999999999998</v>
      </c>
      <c r="H14" s="51">
        <v>1.05</v>
      </c>
      <c r="I14" s="51">
        <v>0.19</v>
      </c>
    </row>
    <row r="15" spans="1:9">
      <c r="A15" s="45">
        <v>14</v>
      </c>
      <c r="B15" s="46" t="s">
        <v>105</v>
      </c>
      <c r="C15" s="45">
        <v>10</v>
      </c>
      <c r="D15" s="51">
        <v>0.4</v>
      </c>
      <c r="E15" s="51">
        <v>0.1</v>
      </c>
      <c r="F15" s="51">
        <v>4</v>
      </c>
      <c r="G15" s="51">
        <v>2.2000000000000002</v>
      </c>
      <c r="H15" s="51">
        <v>1.75</v>
      </c>
      <c r="I15" s="51">
        <v>0.32</v>
      </c>
    </row>
    <row r="16" spans="1:9">
      <c r="A16" s="45">
        <v>15</v>
      </c>
      <c r="B16" s="46" t="s">
        <v>106</v>
      </c>
      <c r="C16" s="45">
        <v>10</v>
      </c>
      <c r="D16" s="51">
        <v>0.4</v>
      </c>
      <c r="E16" s="51">
        <v>0.16</v>
      </c>
      <c r="F16" s="51">
        <v>4</v>
      </c>
      <c r="G16" s="51">
        <v>2.1</v>
      </c>
      <c r="H16" s="51">
        <v>2.35</v>
      </c>
      <c r="I16" s="51">
        <v>0.46</v>
      </c>
    </row>
    <row r="17" spans="1:9">
      <c r="A17" s="45">
        <v>16</v>
      </c>
      <c r="B17" s="46" t="s">
        <v>107</v>
      </c>
      <c r="C17" s="45">
        <v>10</v>
      </c>
      <c r="D17" s="51">
        <v>0.4</v>
      </c>
      <c r="E17" s="51">
        <v>0.25</v>
      </c>
      <c r="F17" s="51">
        <v>4</v>
      </c>
      <c r="G17" s="51">
        <v>2</v>
      </c>
      <c r="H17" s="51">
        <v>3.25</v>
      </c>
      <c r="I17" s="51">
        <v>0.65</v>
      </c>
    </row>
    <row r="18" spans="1:9">
      <c r="A18" s="45">
        <v>17</v>
      </c>
      <c r="B18" s="46" t="s">
        <v>108</v>
      </c>
      <c r="C18" s="45">
        <v>10</v>
      </c>
      <c r="D18" s="51">
        <v>0.4</v>
      </c>
      <c r="E18" s="51">
        <v>0.4</v>
      </c>
      <c r="F18" s="51">
        <v>4</v>
      </c>
      <c r="G18" s="51">
        <v>1.9</v>
      </c>
      <c r="H18" s="51">
        <v>4.5999999999999996</v>
      </c>
      <c r="I18" s="51">
        <v>0.93</v>
      </c>
    </row>
    <row r="19" spans="1:9">
      <c r="A19" s="45">
        <v>18</v>
      </c>
      <c r="B19" s="46" t="s">
        <v>109</v>
      </c>
      <c r="C19" s="45">
        <v>10</v>
      </c>
      <c r="D19" s="51">
        <v>0.4</v>
      </c>
      <c r="E19" s="51">
        <v>0.63</v>
      </c>
      <c r="F19" s="51">
        <v>4</v>
      </c>
      <c r="G19" s="51">
        <v>1.8</v>
      </c>
      <c r="H19" s="51">
        <v>6.5</v>
      </c>
      <c r="I19" s="51">
        <v>1.3</v>
      </c>
    </row>
    <row r="20" spans="1:9">
      <c r="A20" s="45">
        <v>19</v>
      </c>
      <c r="B20" s="46" t="s">
        <v>110</v>
      </c>
      <c r="C20" s="45">
        <v>35</v>
      </c>
      <c r="D20" s="51">
        <v>10.5</v>
      </c>
      <c r="E20" s="51">
        <v>8</v>
      </c>
      <c r="F20" s="51">
        <v>7</v>
      </c>
      <c r="G20" s="51">
        <v>1</v>
      </c>
      <c r="H20" s="51">
        <v>54</v>
      </c>
      <c r="I20" s="51">
        <v>9.4</v>
      </c>
    </row>
    <row r="21" spans="1:9">
      <c r="A21" s="45">
        <v>20</v>
      </c>
      <c r="B21" s="46" t="s">
        <v>111</v>
      </c>
      <c r="C21" s="45">
        <v>10</v>
      </c>
      <c r="D21" s="51">
        <v>10</v>
      </c>
      <c r="E21" s="51">
        <v>2.5</v>
      </c>
      <c r="F21" s="51">
        <v>6</v>
      </c>
      <c r="G21" s="51">
        <v>1</v>
      </c>
      <c r="H21" s="51">
        <v>14</v>
      </c>
      <c r="I21" s="51">
        <v>2.4</v>
      </c>
    </row>
    <row r="22" spans="1:9">
      <c r="A22" s="45">
        <v>21</v>
      </c>
      <c r="B22" s="46" t="s">
        <v>112</v>
      </c>
      <c r="C22" s="45">
        <v>115</v>
      </c>
      <c r="D22" s="51">
        <v>10.5</v>
      </c>
      <c r="E22" s="51">
        <v>25</v>
      </c>
      <c r="F22" s="51">
        <v>10.5</v>
      </c>
      <c r="G22" s="51">
        <v>0.7</v>
      </c>
      <c r="H22" s="51">
        <v>120</v>
      </c>
      <c r="I22" s="51">
        <v>27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26"/>
  <sheetViews>
    <sheetView workbookViewId="0">
      <selection activeCell="K14" sqref="K14"/>
    </sheetView>
  </sheetViews>
  <sheetFormatPr defaultRowHeight="14.5"/>
  <cols>
    <col min="1" max="2" width="4" customWidth="1"/>
    <col min="3" max="3" width="11.90625" bestFit="1" customWidth="1"/>
    <col min="4" max="4" width="3" bestFit="1" customWidth="1"/>
    <col min="5" max="5" width="11.90625" bestFit="1" customWidth="1"/>
    <col min="6" max="6" width="6.08984375" bestFit="1" customWidth="1"/>
    <col min="18" max="18" width="11" bestFit="1" customWidth="1"/>
    <col min="25" max="25" width="11" bestFit="1" customWidth="1"/>
  </cols>
  <sheetData>
    <row r="1" spans="1:13">
      <c r="A1" s="52"/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</row>
    <row r="2" spans="1:13">
      <c r="A2">
        <v>1</v>
      </c>
      <c r="B2">
        <v>20</v>
      </c>
      <c r="C2" t="s">
        <v>8</v>
      </c>
      <c r="D2">
        <v>3</v>
      </c>
      <c r="E2" t="s">
        <v>11</v>
      </c>
      <c r="F2" t="s">
        <v>36</v>
      </c>
      <c r="G2">
        <v>13.5</v>
      </c>
      <c r="H2">
        <v>1.3276859504132231E-2</v>
      </c>
      <c r="I2">
        <v>4.5632231404958673E-2</v>
      </c>
      <c r="J2">
        <v>0</v>
      </c>
      <c r="K2">
        <v>2.2623974999999999E-3</v>
      </c>
      <c r="L2">
        <v>0</v>
      </c>
      <c r="M2">
        <v>2.2623974999999999E-3</v>
      </c>
    </row>
    <row r="3" spans="1:13">
      <c r="A3">
        <v>2</v>
      </c>
      <c r="B3">
        <v>3</v>
      </c>
      <c r="C3" t="s">
        <v>11</v>
      </c>
      <c r="D3">
        <v>4</v>
      </c>
      <c r="E3" t="s">
        <v>12</v>
      </c>
      <c r="F3" t="s">
        <v>36</v>
      </c>
      <c r="G3">
        <v>15</v>
      </c>
      <c r="H3">
        <v>1.4752066115702478E-2</v>
      </c>
      <c r="I3">
        <v>5.0702479338842969E-2</v>
      </c>
      <c r="J3">
        <v>0</v>
      </c>
      <c r="K3">
        <v>2.5137750000000002E-3</v>
      </c>
      <c r="L3">
        <v>0</v>
      </c>
      <c r="M3">
        <v>2.5137750000000002E-3</v>
      </c>
    </row>
    <row r="4" spans="1:13">
      <c r="A4">
        <v>3</v>
      </c>
      <c r="B4">
        <v>4</v>
      </c>
      <c r="C4" t="s">
        <v>12</v>
      </c>
      <c r="D4">
        <v>5</v>
      </c>
      <c r="E4" t="s">
        <v>13</v>
      </c>
      <c r="F4" t="s">
        <v>36</v>
      </c>
      <c r="G4">
        <v>2.5</v>
      </c>
      <c r="H4">
        <v>2.458677685950413E-3</v>
      </c>
      <c r="I4">
        <v>8.450413223140496E-3</v>
      </c>
      <c r="J4">
        <v>0</v>
      </c>
      <c r="K4">
        <v>4.189625E-4</v>
      </c>
      <c r="L4">
        <v>0</v>
      </c>
      <c r="M4">
        <v>4.189625E-4</v>
      </c>
    </row>
    <row r="5" spans="1:13">
      <c r="A5">
        <v>4</v>
      </c>
      <c r="B5">
        <v>5</v>
      </c>
      <c r="C5" t="s">
        <v>13</v>
      </c>
      <c r="D5">
        <v>6</v>
      </c>
      <c r="E5" t="s">
        <v>14</v>
      </c>
      <c r="F5" t="s">
        <v>36</v>
      </c>
      <c r="G5">
        <v>20.5</v>
      </c>
      <c r="H5">
        <v>2.0161157024793389E-2</v>
      </c>
      <c r="I5">
        <v>6.9293388429752065E-2</v>
      </c>
      <c r="J5">
        <v>0</v>
      </c>
      <c r="K5">
        <v>3.4354925000000002E-3</v>
      </c>
      <c r="L5">
        <v>0</v>
      </c>
      <c r="M5">
        <v>3.4354925000000002E-3</v>
      </c>
    </row>
    <row r="6" spans="1:13">
      <c r="A6">
        <v>5</v>
      </c>
      <c r="B6">
        <v>6</v>
      </c>
      <c r="C6" t="s">
        <v>14</v>
      </c>
      <c r="D6">
        <v>7</v>
      </c>
      <c r="E6" t="s">
        <v>15</v>
      </c>
      <c r="F6" t="s">
        <v>36</v>
      </c>
      <c r="G6">
        <v>8</v>
      </c>
      <c r="H6">
        <v>7.8677685950413224E-3</v>
      </c>
      <c r="I6">
        <v>2.7041322314049585E-2</v>
      </c>
      <c r="J6">
        <v>0</v>
      </c>
      <c r="K6">
        <v>1.3406799999999999E-3</v>
      </c>
      <c r="L6">
        <v>0</v>
      </c>
      <c r="M6">
        <v>1.3406799999999999E-3</v>
      </c>
    </row>
    <row r="7" spans="1:13">
      <c r="A7">
        <v>6</v>
      </c>
      <c r="B7">
        <v>20</v>
      </c>
      <c r="C7" t="s">
        <v>8</v>
      </c>
      <c r="D7">
        <v>5</v>
      </c>
      <c r="E7" t="s">
        <v>13</v>
      </c>
      <c r="F7" t="s">
        <v>36</v>
      </c>
      <c r="G7">
        <v>31.799999237060547</v>
      </c>
      <c r="H7">
        <v>3.127437941496037E-2</v>
      </c>
      <c r="I7">
        <v>0.10748925361948565</v>
      </c>
      <c r="J7">
        <v>0</v>
      </c>
      <c r="K7">
        <v>5.3292028721427919E-3</v>
      </c>
      <c r="L7">
        <v>0</v>
      </c>
      <c r="M7">
        <v>5.3292028721427919E-3</v>
      </c>
    </row>
    <row r="8" spans="1:13">
      <c r="A8">
        <v>7</v>
      </c>
      <c r="B8">
        <v>20</v>
      </c>
      <c r="C8" t="s">
        <v>8</v>
      </c>
      <c r="D8">
        <v>8</v>
      </c>
      <c r="E8" t="s">
        <v>16</v>
      </c>
      <c r="F8" t="s">
        <v>36</v>
      </c>
      <c r="G8">
        <v>8</v>
      </c>
      <c r="H8">
        <v>7.8677685950413224E-3</v>
      </c>
      <c r="I8">
        <v>2.7041322314049585E-2</v>
      </c>
      <c r="J8">
        <v>0</v>
      </c>
      <c r="K8">
        <v>1.3406799999999999E-3</v>
      </c>
      <c r="L8">
        <v>0</v>
      </c>
      <c r="M8">
        <v>1.3406799999999999E-3</v>
      </c>
    </row>
    <row r="9" spans="1:13">
      <c r="A9">
        <v>8</v>
      </c>
      <c r="B9">
        <v>8</v>
      </c>
      <c r="C9" t="s">
        <v>16</v>
      </c>
      <c r="D9">
        <v>7</v>
      </c>
      <c r="E9" t="s">
        <v>15</v>
      </c>
      <c r="F9" t="s">
        <v>36</v>
      </c>
      <c r="G9">
        <v>36.299999237060547</v>
      </c>
      <c r="H9">
        <v>3.5699999249671113E-2</v>
      </c>
      <c r="I9">
        <v>0.12269999742113853</v>
      </c>
      <c r="J9">
        <v>0</v>
      </c>
      <c r="K9">
        <v>6.0833353721427919E-3</v>
      </c>
      <c r="L9">
        <v>0</v>
      </c>
      <c r="M9">
        <v>6.0833353721427919E-3</v>
      </c>
    </row>
    <row r="10" spans="1:13">
      <c r="A10">
        <v>9</v>
      </c>
      <c r="B10">
        <v>8</v>
      </c>
      <c r="C10" t="s">
        <v>16</v>
      </c>
      <c r="D10">
        <v>17</v>
      </c>
      <c r="E10" t="s">
        <v>24</v>
      </c>
      <c r="F10" t="s">
        <v>36</v>
      </c>
      <c r="G10">
        <v>37</v>
      </c>
      <c r="H10">
        <v>3.6388429752066111E-2</v>
      </c>
      <c r="I10">
        <v>0.12506611570247933</v>
      </c>
      <c r="J10">
        <v>0</v>
      </c>
      <c r="K10">
        <v>6.2006450000000003E-3</v>
      </c>
      <c r="L10">
        <v>0</v>
      </c>
      <c r="M10">
        <v>6.2006450000000003E-3</v>
      </c>
    </row>
    <row r="11" spans="1:13">
      <c r="A11">
        <v>10</v>
      </c>
      <c r="B11">
        <v>17</v>
      </c>
      <c r="C11" t="s">
        <v>24</v>
      </c>
      <c r="D11">
        <v>15</v>
      </c>
      <c r="E11" t="s">
        <v>26</v>
      </c>
      <c r="F11" t="s">
        <v>36</v>
      </c>
      <c r="G11">
        <v>15</v>
      </c>
      <c r="H11">
        <v>1.4752066115702478E-2</v>
      </c>
      <c r="I11">
        <v>5.0702479338842969E-2</v>
      </c>
      <c r="J11">
        <v>0</v>
      </c>
      <c r="K11">
        <v>2.5137750000000002E-3</v>
      </c>
      <c r="L11">
        <v>0</v>
      </c>
      <c r="M11">
        <v>2.5137750000000002E-3</v>
      </c>
    </row>
    <row r="12" spans="1:13">
      <c r="A12">
        <v>11</v>
      </c>
      <c r="B12">
        <v>17</v>
      </c>
      <c r="C12" t="s">
        <v>24</v>
      </c>
      <c r="D12">
        <v>14</v>
      </c>
      <c r="E12" t="s">
        <v>25</v>
      </c>
      <c r="F12" t="s">
        <v>36</v>
      </c>
      <c r="G12">
        <v>17.5</v>
      </c>
      <c r="H12">
        <v>1.721074380165289E-2</v>
      </c>
      <c r="I12">
        <v>5.9152892561983465E-2</v>
      </c>
      <c r="J12">
        <v>0</v>
      </c>
      <c r="K12">
        <v>2.9327375000000001E-3</v>
      </c>
      <c r="L12">
        <v>0</v>
      </c>
      <c r="M12">
        <v>2.9327375000000001E-3</v>
      </c>
    </row>
    <row r="13" spans="1:13">
      <c r="A13">
        <v>12</v>
      </c>
      <c r="B13">
        <v>14</v>
      </c>
      <c r="C13" t="s">
        <v>25</v>
      </c>
      <c r="D13">
        <v>13</v>
      </c>
      <c r="E13" t="s">
        <v>22</v>
      </c>
      <c r="F13" t="s">
        <v>36</v>
      </c>
      <c r="G13">
        <v>47.599998474121094</v>
      </c>
      <c r="H13">
        <v>4.6813221639838101E-2</v>
      </c>
      <c r="I13">
        <v>0.1608958626108721</v>
      </c>
      <c r="J13">
        <v>0</v>
      </c>
      <c r="K13">
        <v>7.9770457442855831E-3</v>
      </c>
      <c r="L13">
        <v>0</v>
      </c>
      <c r="M13">
        <v>7.9770457442855831E-3</v>
      </c>
    </row>
    <row r="14" spans="1:13">
      <c r="A14">
        <v>13</v>
      </c>
      <c r="B14">
        <v>7</v>
      </c>
      <c r="C14" t="s">
        <v>15</v>
      </c>
      <c r="D14">
        <v>13</v>
      </c>
      <c r="E14" t="s">
        <v>22</v>
      </c>
      <c r="F14" t="s">
        <v>36</v>
      </c>
      <c r="G14">
        <v>41.5</v>
      </c>
      <c r="H14">
        <v>4.0814049586776854E-2</v>
      </c>
      <c r="I14">
        <v>0.14027685950413221</v>
      </c>
      <c r="J14">
        <v>0</v>
      </c>
      <c r="K14">
        <v>6.9547775000000003E-3</v>
      </c>
      <c r="L14">
        <v>0</v>
      </c>
      <c r="M14">
        <v>6.9547775000000003E-3</v>
      </c>
    </row>
    <row r="15" spans="1:13">
      <c r="A15">
        <v>14</v>
      </c>
      <c r="B15">
        <v>7</v>
      </c>
      <c r="C15" t="s">
        <v>15</v>
      </c>
      <c r="D15">
        <v>9</v>
      </c>
      <c r="E15" t="s">
        <v>17</v>
      </c>
      <c r="F15" t="s">
        <v>36</v>
      </c>
      <c r="G15">
        <v>44.5</v>
      </c>
      <c r="H15">
        <v>4.3764462809917352E-2</v>
      </c>
      <c r="I15">
        <v>0.15041735537190082</v>
      </c>
      <c r="J15">
        <v>0</v>
      </c>
      <c r="K15">
        <v>7.4575325E-3</v>
      </c>
      <c r="L15">
        <v>0</v>
      </c>
      <c r="M15">
        <v>7.4575325E-3</v>
      </c>
    </row>
    <row r="16" spans="1:13">
      <c r="A16">
        <v>15</v>
      </c>
      <c r="B16">
        <v>9</v>
      </c>
      <c r="C16" t="s">
        <v>17</v>
      </c>
      <c r="D16">
        <v>12</v>
      </c>
      <c r="E16" t="s">
        <v>21</v>
      </c>
      <c r="F16" t="s">
        <v>36</v>
      </c>
      <c r="G16">
        <v>11.100000381469727</v>
      </c>
      <c r="H16">
        <v>1.0916529300784275E-2</v>
      </c>
      <c r="I16">
        <v>3.7519836000174528E-2</v>
      </c>
      <c r="J16">
        <v>0</v>
      </c>
      <c r="K16">
        <v>1.8601935639286041E-3</v>
      </c>
      <c r="L16">
        <v>0</v>
      </c>
      <c r="M16">
        <v>1.8601935639286041E-3</v>
      </c>
    </row>
    <row r="17" spans="1:13">
      <c r="A17">
        <v>16</v>
      </c>
      <c r="B17">
        <v>12</v>
      </c>
      <c r="C17" t="s">
        <v>21</v>
      </c>
      <c r="D17">
        <v>13</v>
      </c>
      <c r="E17" t="s">
        <v>22</v>
      </c>
      <c r="F17" t="s">
        <v>36</v>
      </c>
      <c r="G17">
        <v>20.799999237060547</v>
      </c>
      <c r="H17">
        <v>2.0456197596778553E-2</v>
      </c>
      <c r="I17">
        <v>7.0307435437667459E-2</v>
      </c>
      <c r="J17">
        <v>0</v>
      </c>
      <c r="K17">
        <v>3.4857678721427919E-3</v>
      </c>
      <c r="L17">
        <v>0</v>
      </c>
      <c r="M17">
        <v>3.4857678721427919E-3</v>
      </c>
    </row>
    <row r="18" spans="1:13">
      <c r="A18">
        <v>17</v>
      </c>
      <c r="B18">
        <v>13</v>
      </c>
      <c r="C18" t="s">
        <v>22</v>
      </c>
      <c r="D18">
        <v>18</v>
      </c>
      <c r="E18" t="s">
        <v>23</v>
      </c>
      <c r="F18" t="s">
        <v>36</v>
      </c>
      <c r="G18">
        <v>30</v>
      </c>
      <c r="H18">
        <v>2.9504132231404957E-2</v>
      </c>
      <c r="I18">
        <v>0.10140495867768594</v>
      </c>
      <c r="J18">
        <v>0</v>
      </c>
      <c r="K18">
        <v>5.0275500000000004E-3</v>
      </c>
      <c r="L18">
        <v>0</v>
      </c>
      <c r="M18">
        <v>5.0275500000000004E-3</v>
      </c>
    </row>
    <row r="19" spans="1:13">
      <c r="A19">
        <v>18</v>
      </c>
      <c r="B19">
        <v>9</v>
      </c>
      <c r="C19" t="s">
        <v>17</v>
      </c>
      <c r="D19">
        <v>10</v>
      </c>
      <c r="E19" t="s">
        <v>18</v>
      </c>
      <c r="F19" t="s">
        <v>36</v>
      </c>
      <c r="G19">
        <v>1.8999999761581421</v>
      </c>
      <c r="H19">
        <v>1.8685950178745363E-3</v>
      </c>
      <c r="I19">
        <v>6.4223139689973561E-3</v>
      </c>
      <c r="J19">
        <v>0</v>
      </c>
      <c r="K19">
        <v>3.1841149600446222E-4</v>
      </c>
      <c r="L19">
        <v>0</v>
      </c>
      <c r="M19">
        <v>3.1841149600446222E-4</v>
      </c>
    </row>
    <row r="20" spans="1:13">
      <c r="A20">
        <v>19</v>
      </c>
      <c r="B20">
        <v>9</v>
      </c>
      <c r="C20" t="s">
        <v>17</v>
      </c>
      <c r="D20">
        <v>11</v>
      </c>
      <c r="E20" t="s">
        <v>19</v>
      </c>
      <c r="F20" t="s">
        <v>36</v>
      </c>
      <c r="G20">
        <v>4.9000000953674316</v>
      </c>
      <c r="H20">
        <v>4.8190083582539201E-3</v>
      </c>
      <c r="I20">
        <v>1.6562810239713052E-2</v>
      </c>
      <c r="J20">
        <v>0</v>
      </c>
      <c r="K20">
        <v>8.2116651598215101E-4</v>
      </c>
      <c r="L20">
        <v>0</v>
      </c>
      <c r="M20">
        <v>8.2116651598215101E-4</v>
      </c>
    </row>
    <row r="21" spans="1:13">
      <c r="A21">
        <v>20</v>
      </c>
      <c r="B21">
        <v>10</v>
      </c>
      <c r="C21" t="s">
        <v>18</v>
      </c>
      <c r="D21">
        <v>11</v>
      </c>
      <c r="E21" t="s">
        <v>19</v>
      </c>
      <c r="F21" t="s">
        <v>36</v>
      </c>
      <c r="G21">
        <v>4</v>
      </c>
      <c r="H21">
        <v>3.9338842975206612E-3</v>
      </c>
      <c r="I21">
        <v>1.3520661157024792E-2</v>
      </c>
      <c r="J21">
        <v>0</v>
      </c>
      <c r="K21">
        <v>6.7033999999999995E-4</v>
      </c>
      <c r="L21">
        <v>0</v>
      </c>
      <c r="M21">
        <v>6.7033999999999995E-4</v>
      </c>
    </row>
    <row r="22" spans="1:13">
      <c r="A22">
        <v>21</v>
      </c>
      <c r="B22">
        <v>19</v>
      </c>
      <c r="C22" t="s">
        <v>20</v>
      </c>
      <c r="D22">
        <v>11</v>
      </c>
      <c r="E22" t="s">
        <v>19</v>
      </c>
      <c r="F22" t="s">
        <v>44</v>
      </c>
      <c r="G22">
        <v>4</v>
      </c>
      <c r="H22">
        <v>1.322314049586777E-3</v>
      </c>
      <c r="I22">
        <v>6.0826446280991733E-3</v>
      </c>
      <c r="J22">
        <v>0</v>
      </c>
      <c r="K22">
        <v>1.4979800000000001E-3</v>
      </c>
      <c r="L22">
        <v>0</v>
      </c>
      <c r="M22">
        <v>1.4979800000000001E-3</v>
      </c>
    </row>
    <row r="23" spans="1:13">
      <c r="A23">
        <v>22</v>
      </c>
      <c r="B23">
        <v>16</v>
      </c>
      <c r="C23" t="s">
        <v>27</v>
      </c>
      <c r="D23">
        <v>20</v>
      </c>
      <c r="E23" t="s">
        <v>8</v>
      </c>
      <c r="F23" t="s">
        <v>36</v>
      </c>
      <c r="G23">
        <v>28</v>
      </c>
      <c r="H23">
        <v>2.7537190082644627E-2</v>
      </c>
      <c r="I23">
        <v>9.4644628099173553E-2</v>
      </c>
      <c r="J23">
        <v>0</v>
      </c>
      <c r="K23">
        <v>4.6923800000000003E-3</v>
      </c>
      <c r="L23">
        <v>0</v>
      </c>
      <c r="M23">
        <v>4.6923800000000003E-3</v>
      </c>
    </row>
    <row r="24" spans="1:13">
      <c r="A24">
        <v>23</v>
      </c>
      <c r="B24">
        <v>1</v>
      </c>
      <c r="C24" t="s">
        <v>130</v>
      </c>
      <c r="D24">
        <v>2</v>
      </c>
      <c r="E24" t="s">
        <v>131</v>
      </c>
      <c r="F24" t="s">
        <v>45</v>
      </c>
      <c r="G24">
        <v>65.199996948242188</v>
      </c>
      <c r="H24">
        <v>4.3107435998837811E-2</v>
      </c>
      <c r="I24">
        <v>0.22631403899389849</v>
      </c>
      <c r="J24">
        <v>0</v>
      </c>
      <c r="K24">
        <v>1.0650419501495362E-2</v>
      </c>
      <c r="L24">
        <v>0</v>
      </c>
      <c r="M24">
        <v>1.0650419501495362E-2</v>
      </c>
    </row>
    <row r="25" spans="1:13">
      <c r="A25">
        <v>24</v>
      </c>
      <c r="B25">
        <v>1</v>
      </c>
      <c r="C25" t="s">
        <v>130</v>
      </c>
      <c r="D25">
        <v>20</v>
      </c>
      <c r="E25" t="s">
        <v>8</v>
      </c>
      <c r="F25" t="s">
        <v>46</v>
      </c>
      <c r="G25">
        <v>0</v>
      </c>
      <c r="H25">
        <v>1.0294242424242423E-3</v>
      </c>
      <c r="I25">
        <v>8.0493417654669816E-2</v>
      </c>
      <c r="J25">
        <v>1.0172072953601385E-3</v>
      </c>
      <c r="K25">
        <v>-6.216257770390049E-2</v>
      </c>
      <c r="L25">
        <v>-6.8768674076409228E-4</v>
      </c>
      <c r="M25">
        <v>5.3772054084860334E-2</v>
      </c>
    </row>
    <row r="26" spans="1:13">
      <c r="A26">
        <v>25</v>
      </c>
      <c r="B26">
        <v>2</v>
      </c>
      <c r="C26" t="s">
        <v>131</v>
      </c>
      <c r="D26">
        <v>9</v>
      </c>
      <c r="E26" t="s">
        <v>17</v>
      </c>
      <c r="F26" t="s">
        <v>47</v>
      </c>
      <c r="G26">
        <v>0</v>
      </c>
      <c r="H26">
        <v>3.4314141414141413E-4</v>
      </c>
      <c r="I26">
        <v>3.6589300103569547E-2</v>
      </c>
      <c r="J26">
        <v>2.0938835521606153E-3</v>
      </c>
      <c r="K26">
        <v>-0.14328754762319726</v>
      </c>
      <c r="L26">
        <v>-1.1094679417660693E-3</v>
      </c>
      <c r="M26">
        <v>0.11830299055607033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H21"/>
  <sheetViews>
    <sheetView workbookViewId="0">
      <selection activeCell="A2" sqref="A2:H21"/>
    </sheetView>
  </sheetViews>
  <sheetFormatPr defaultRowHeight="14.5"/>
  <cols>
    <col min="1" max="1" width="4.90625" customWidth="1"/>
    <col min="2" max="2" width="11.90625" bestFit="1" customWidth="1"/>
  </cols>
  <sheetData>
    <row r="1" spans="1:8">
      <c r="A1" s="52"/>
      <c r="B1" s="52"/>
      <c r="C1" s="52"/>
      <c r="D1" s="52"/>
      <c r="E1" s="52"/>
      <c r="F1" s="52"/>
      <c r="G1" s="52"/>
      <c r="H1" s="52"/>
    </row>
    <row r="2" spans="1:8">
      <c r="A2">
        <v>1</v>
      </c>
      <c r="B2" t="s">
        <v>130</v>
      </c>
      <c r="C2">
        <v>0</v>
      </c>
      <c r="D2">
        <v>0</v>
      </c>
      <c r="E2">
        <v>0</v>
      </c>
      <c r="F2">
        <v>0</v>
      </c>
      <c r="G2">
        <v>0</v>
      </c>
      <c r="H2">
        <v>220</v>
      </c>
    </row>
    <row r="3" spans="1:8">
      <c r="A3">
        <v>2</v>
      </c>
      <c r="B3" t="s">
        <v>131</v>
      </c>
      <c r="C3">
        <v>0</v>
      </c>
      <c r="D3">
        <v>0</v>
      </c>
      <c r="E3">
        <v>0</v>
      </c>
      <c r="F3">
        <v>0</v>
      </c>
      <c r="G3">
        <v>0</v>
      </c>
      <c r="H3">
        <v>220</v>
      </c>
    </row>
    <row r="4" spans="1:8">
      <c r="A4">
        <v>3</v>
      </c>
      <c r="B4" t="s">
        <v>11</v>
      </c>
      <c r="C4">
        <v>0</v>
      </c>
      <c r="D4">
        <v>13.5</v>
      </c>
      <c r="E4">
        <v>5.0999999999999996</v>
      </c>
      <c r="F4">
        <v>0</v>
      </c>
      <c r="G4">
        <v>0</v>
      </c>
      <c r="H4">
        <v>110</v>
      </c>
    </row>
    <row r="5" spans="1:8">
      <c r="A5">
        <v>4</v>
      </c>
      <c r="B5" t="s">
        <v>12</v>
      </c>
      <c r="C5">
        <v>0</v>
      </c>
      <c r="D5">
        <v>16.100000000000001</v>
      </c>
      <c r="E5">
        <v>6.5</v>
      </c>
      <c r="F5">
        <v>0</v>
      </c>
      <c r="G5">
        <v>0</v>
      </c>
      <c r="H5">
        <v>110</v>
      </c>
    </row>
    <row r="6" spans="1:8">
      <c r="A6">
        <v>5</v>
      </c>
      <c r="B6" t="s">
        <v>13</v>
      </c>
      <c r="C6">
        <v>0</v>
      </c>
      <c r="D6">
        <v>57.5</v>
      </c>
      <c r="E6">
        <v>21.5</v>
      </c>
      <c r="F6">
        <v>0</v>
      </c>
      <c r="G6">
        <v>0</v>
      </c>
      <c r="H6">
        <v>110</v>
      </c>
    </row>
    <row r="7" spans="1:8">
      <c r="A7">
        <v>6</v>
      </c>
      <c r="B7" t="s">
        <v>14</v>
      </c>
      <c r="C7">
        <v>0</v>
      </c>
      <c r="D7">
        <v>8.1999999999999993</v>
      </c>
      <c r="E7">
        <v>3.1</v>
      </c>
      <c r="F7">
        <v>0</v>
      </c>
      <c r="G7">
        <v>0</v>
      </c>
      <c r="H7">
        <v>110</v>
      </c>
    </row>
    <row r="8" spans="1:8">
      <c r="A8">
        <v>7</v>
      </c>
      <c r="B8" t="s">
        <v>15</v>
      </c>
      <c r="C8">
        <v>0</v>
      </c>
      <c r="D8">
        <v>85</v>
      </c>
      <c r="E8">
        <v>20</v>
      </c>
      <c r="F8">
        <v>0</v>
      </c>
      <c r="G8">
        <v>0</v>
      </c>
      <c r="H8">
        <v>110</v>
      </c>
    </row>
    <row r="9" spans="1:8">
      <c r="A9">
        <v>8</v>
      </c>
      <c r="B9" t="s">
        <v>16</v>
      </c>
      <c r="C9">
        <v>0</v>
      </c>
      <c r="D9">
        <v>40</v>
      </c>
      <c r="E9">
        <v>15</v>
      </c>
      <c r="F9">
        <v>0</v>
      </c>
      <c r="G9">
        <v>0</v>
      </c>
      <c r="H9">
        <v>110</v>
      </c>
    </row>
    <row r="10" spans="1:8">
      <c r="A10">
        <v>9</v>
      </c>
      <c r="B10" t="s">
        <v>17</v>
      </c>
      <c r="C10">
        <v>0</v>
      </c>
      <c r="D10">
        <v>37.700000000000003</v>
      </c>
      <c r="E10">
        <v>14.1</v>
      </c>
      <c r="F10">
        <v>0</v>
      </c>
      <c r="G10">
        <v>0</v>
      </c>
      <c r="H10">
        <v>110</v>
      </c>
    </row>
    <row r="11" spans="1:8">
      <c r="A11">
        <v>10</v>
      </c>
      <c r="B11" t="s">
        <v>18</v>
      </c>
      <c r="C11">
        <v>0</v>
      </c>
      <c r="D11">
        <v>54</v>
      </c>
      <c r="E11">
        <v>20</v>
      </c>
      <c r="F11">
        <v>0</v>
      </c>
      <c r="G11">
        <v>0</v>
      </c>
      <c r="H11">
        <v>110</v>
      </c>
    </row>
    <row r="12" spans="1:8">
      <c r="A12">
        <v>11</v>
      </c>
      <c r="B12" t="s">
        <v>19</v>
      </c>
      <c r="C12">
        <v>0</v>
      </c>
      <c r="D12">
        <v>37</v>
      </c>
      <c r="E12">
        <v>14</v>
      </c>
      <c r="F12">
        <v>0</v>
      </c>
      <c r="G12">
        <v>0</v>
      </c>
      <c r="H12">
        <v>110</v>
      </c>
    </row>
    <row r="13" spans="1:8">
      <c r="A13">
        <v>12</v>
      </c>
      <c r="B13" t="s">
        <v>21</v>
      </c>
      <c r="C13">
        <v>0</v>
      </c>
      <c r="D13">
        <v>44</v>
      </c>
      <c r="E13">
        <v>17</v>
      </c>
      <c r="F13">
        <v>0</v>
      </c>
      <c r="G13">
        <v>0</v>
      </c>
      <c r="H13">
        <v>110</v>
      </c>
    </row>
    <row r="14" spans="1:8">
      <c r="A14">
        <v>13</v>
      </c>
      <c r="B14" t="s">
        <v>22</v>
      </c>
      <c r="C14">
        <v>0</v>
      </c>
      <c r="D14">
        <v>76</v>
      </c>
      <c r="E14">
        <v>32</v>
      </c>
      <c r="F14">
        <v>0</v>
      </c>
      <c r="G14">
        <v>0</v>
      </c>
      <c r="H14">
        <v>110</v>
      </c>
    </row>
    <row r="15" spans="1:8">
      <c r="A15">
        <v>14</v>
      </c>
      <c r="B15" t="s">
        <v>25</v>
      </c>
      <c r="C15">
        <v>0</v>
      </c>
      <c r="D15">
        <v>3.7</v>
      </c>
      <c r="E15">
        <v>1.4</v>
      </c>
      <c r="F15">
        <v>0</v>
      </c>
      <c r="G15">
        <v>0</v>
      </c>
      <c r="H15">
        <v>110</v>
      </c>
    </row>
    <row r="16" spans="1:8">
      <c r="A16">
        <v>15</v>
      </c>
      <c r="B16" t="s">
        <v>26</v>
      </c>
      <c r="C16">
        <v>0</v>
      </c>
      <c r="D16">
        <v>18</v>
      </c>
      <c r="E16">
        <v>8</v>
      </c>
      <c r="F16">
        <v>0</v>
      </c>
      <c r="G16">
        <v>0</v>
      </c>
      <c r="H16">
        <v>110</v>
      </c>
    </row>
    <row r="17" spans="1:8">
      <c r="A17">
        <v>16</v>
      </c>
      <c r="B17" t="s">
        <v>27</v>
      </c>
      <c r="C17">
        <v>0</v>
      </c>
      <c r="D17">
        <v>0</v>
      </c>
      <c r="E17">
        <v>0</v>
      </c>
      <c r="F17">
        <v>52.7</v>
      </c>
      <c r="G17">
        <v>15.81</v>
      </c>
      <c r="H17">
        <v>110</v>
      </c>
    </row>
    <row r="18" spans="1:8">
      <c r="A18">
        <v>17</v>
      </c>
      <c r="B18" t="s">
        <v>24</v>
      </c>
      <c r="C18">
        <v>116</v>
      </c>
      <c r="D18">
        <v>0</v>
      </c>
      <c r="E18">
        <v>0</v>
      </c>
      <c r="F18">
        <v>100</v>
      </c>
      <c r="G18">
        <v>30</v>
      </c>
      <c r="H18">
        <v>110</v>
      </c>
    </row>
    <row r="19" spans="1:8">
      <c r="A19">
        <v>18</v>
      </c>
      <c r="B19" t="s">
        <v>23</v>
      </c>
      <c r="C19">
        <v>116</v>
      </c>
      <c r="D19">
        <v>0</v>
      </c>
      <c r="E19">
        <v>0</v>
      </c>
      <c r="F19">
        <v>80</v>
      </c>
      <c r="G19">
        <v>24</v>
      </c>
      <c r="H19">
        <v>110</v>
      </c>
    </row>
    <row r="20" spans="1:8">
      <c r="A20">
        <v>19</v>
      </c>
      <c r="B20" t="s">
        <v>20</v>
      </c>
      <c r="C20">
        <v>115</v>
      </c>
      <c r="D20">
        <v>0</v>
      </c>
      <c r="E20">
        <v>0</v>
      </c>
      <c r="F20">
        <v>165</v>
      </c>
      <c r="G20">
        <v>49.5</v>
      </c>
      <c r="H20">
        <v>110</v>
      </c>
    </row>
    <row r="21" spans="1:8">
      <c r="A21">
        <v>20</v>
      </c>
      <c r="B21" t="s">
        <v>8</v>
      </c>
      <c r="C21">
        <v>113</v>
      </c>
      <c r="D21">
        <v>0</v>
      </c>
      <c r="E21">
        <v>0</v>
      </c>
      <c r="F21">
        <v>0</v>
      </c>
      <c r="G21">
        <v>0</v>
      </c>
      <c r="H21">
        <v>110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T20"/>
  <sheetViews>
    <sheetView zoomScale="50" zoomScaleNormal="50" workbookViewId="0">
      <selection sqref="A1:XFD1048576"/>
    </sheetView>
  </sheetViews>
  <sheetFormatPr defaultRowHeight="14.5"/>
  <cols>
    <col min="1" max="1" width="13.90625" bestFit="1" customWidth="1"/>
    <col min="22" max="22" width="13.90625" bestFit="1" customWidth="1"/>
  </cols>
  <sheetData>
    <row r="1" spans="1:20">
      <c r="A1">
        <v>0.97205153488144402</v>
      </c>
      <c r="B1">
        <v>-0.81217869046957725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-0.15885563711650663</v>
      </c>
    </row>
    <row r="2" spans="1:20">
      <c r="A2">
        <v>-0.81217869046957725</v>
      </c>
      <c r="B2">
        <v>1.0705596685697021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-0.25628709454796411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</row>
    <row r="3" spans="1:20">
      <c r="A3">
        <v>0</v>
      </c>
      <c r="B3">
        <v>0</v>
      </c>
      <c r="C3">
        <v>11.169001256191654</v>
      </c>
      <c r="D3">
        <v>-5.2905795424065731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-5.8784217137850812</v>
      </c>
    </row>
    <row r="4" spans="1:20">
      <c r="A4">
        <v>0</v>
      </c>
      <c r="B4">
        <v>0</v>
      </c>
      <c r="C4">
        <v>-5.2905795424065731</v>
      </c>
      <c r="D4">
        <v>37.034056796846009</v>
      </c>
      <c r="E4">
        <v>-31.743477254439433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>
      <c r="A5">
        <v>0</v>
      </c>
      <c r="B5">
        <v>0</v>
      </c>
      <c r="C5">
        <v>0</v>
      </c>
      <c r="D5">
        <v>-31.743477254439433</v>
      </c>
      <c r="E5">
        <v>38.110189464976486</v>
      </c>
      <c r="F5">
        <v>-3.8711557627365165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-2.4955564478005363</v>
      </c>
    </row>
    <row r="6" spans="1:20">
      <c r="A6">
        <v>0</v>
      </c>
      <c r="B6">
        <v>0</v>
      </c>
      <c r="C6">
        <v>0</v>
      </c>
      <c r="D6">
        <v>0</v>
      </c>
      <c r="E6">
        <v>-3.8711557627365165</v>
      </c>
      <c r="F6">
        <v>13.790992404748842</v>
      </c>
      <c r="G6">
        <v>-9.9198366420123243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>
      <c r="A7">
        <v>0</v>
      </c>
      <c r="B7">
        <v>0</v>
      </c>
      <c r="C7">
        <v>0</v>
      </c>
      <c r="D7">
        <v>0</v>
      </c>
      <c r="E7">
        <v>0</v>
      </c>
      <c r="F7">
        <v>-9.9198366420123243</v>
      </c>
      <c r="G7">
        <v>15.801625666236077</v>
      </c>
      <c r="H7">
        <v>-2.1861899395049353</v>
      </c>
      <c r="I7">
        <v>-1.7833414187887324</v>
      </c>
      <c r="J7">
        <v>0</v>
      </c>
      <c r="K7">
        <v>0</v>
      </c>
      <c r="L7">
        <v>0</v>
      </c>
      <c r="M7">
        <v>-1.9122576659300867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1:20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-2.1861899395049353</v>
      </c>
      <c r="H8">
        <v>14.25085612573614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-2.1448295442188807</v>
      </c>
      <c r="R8">
        <v>0</v>
      </c>
      <c r="S8">
        <v>0</v>
      </c>
      <c r="T8">
        <v>-9.9198366420123243</v>
      </c>
    </row>
    <row r="9" spans="1:20">
      <c r="A9">
        <v>0</v>
      </c>
      <c r="B9">
        <v>-0.25628709454796411</v>
      </c>
      <c r="C9">
        <v>0</v>
      </c>
      <c r="D9">
        <v>0</v>
      </c>
      <c r="E9">
        <v>0</v>
      </c>
      <c r="F9">
        <v>0</v>
      </c>
      <c r="G9">
        <v>-1.7833414187887324</v>
      </c>
      <c r="H9">
        <v>0</v>
      </c>
      <c r="I9">
        <v>67.151335712613985</v>
      </c>
      <c r="J9">
        <v>-41.767733753641558</v>
      </c>
      <c r="K9">
        <v>-16.195651345216515</v>
      </c>
      <c r="L9">
        <v>-7.1494315683609804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-41.767733753641558</v>
      </c>
      <c r="J10">
        <v>61.607407037666206</v>
      </c>
      <c r="K10">
        <v>-19.839673284024649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-16.195651345216515</v>
      </c>
      <c r="J11">
        <v>-19.839673284024649</v>
      </c>
      <c r="K11">
        <v>70.162129683392791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-34.126805054151632</v>
      </c>
      <c r="T11">
        <v>0</v>
      </c>
    </row>
    <row r="12" spans="1:20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-7.1494315683609804</v>
      </c>
      <c r="J12">
        <v>0</v>
      </c>
      <c r="K12">
        <v>0</v>
      </c>
      <c r="L12">
        <v>10.964753493695511</v>
      </c>
      <c r="M12">
        <v>-3.8153219253345299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-1.9122576659300867</v>
      </c>
      <c r="H13">
        <v>0</v>
      </c>
      <c r="I13">
        <v>0</v>
      </c>
      <c r="J13">
        <v>0</v>
      </c>
      <c r="K13">
        <v>0</v>
      </c>
      <c r="L13">
        <v>-3.8153219253345299</v>
      </c>
      <c r="M13">
        <v>10.04006885154444</v>
      </c>
      <c r="N13">
        <v>-1.6671994890765367</v>
      </c>
      <c r="O13">
        <v>0</v>
      </c>
      <c r="P13">
        <v>0</v>
      </c>
      <c r="Q13">
        <v>0</v>
      </c>
      <c r="R13">
        <v>-2.6452897712032866</v>
      </c>
      <c r="S13">
        <v>0</v>
      </c>
      <c r="T13">
        <v>0</v>
      </c>
    </row>
    <row r="14" spans="1:20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-1.6671994890765367</v>
      </c>
      <c r="N14">
        <v>6.201981953996456</v>
      </c>
      <c r="O14">
        <v>0</v>
      </c>
      <c r="P14">
        <v>0</v>
      </c>
      <c r="Q14">
        <v>-4.5347824649199193</v>
      </c>
      <c r="R14">
        <v>0</v>
      </c>
      <c r="S14">
        <v>0</v>
      </c>
      <c r="T14">
        <v>0</v>
      </c>
    </row>
    <row r="15" spans="1:20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5.2905795424065731</v>
      </c>
      <c r="P15">
        <v>0</v>
      </c>
      <c r="Q15">
        <v>-5.2905795424065731</v>
      </c>
      <c r="R15">
        <v>0</v>
      </c>
      <c r="S15">
        <v>0</v>
      </c>
      <c r="T15">
        <v>0</v>
      </c>
    </row>
    <row r="16" spans="1:20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2.8342390405749494</v>
      </c>
      <c r="Q16">
        <v>0</v>
      </c>
      <c r="R16">
        <v>0</v>
      </c>
      <c r="S16">
        <v>0</v>
      </c>
      <c r="T16">
        <v>-2.8342390405749494</v>
      </c>
    </row>
    <row r="17" spans="1:20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-2.1448295442188807</v>
      </c>
      <c r="I17">
        <v>0</v>
      </c>
      <c r="J17">
        <v>0</v>
      </c>
      <c r="K17">
        <v>0</v>
      </c>
      <c r="L17">
        <v>0</v>
      </c>
      <c r="M17">
        <v>0</v>
      </c>
      <c r="N17">
        <v>-4.5347824649199193</v>
      </c>
      <c r="O17">
        <v>-5.2905795424065731</v>
      </c>
      <c r="P17">
        <v>0</v>
      </c>
      <c r="Q17">
        <v>11.970191551545373</v>
      </c>
      <c r="R17">
        <v>0</v>
      </c>
      <c r="S17">
        <v>0</v>
      </c>
      <c r="T17">
        <v>0</v>
      </c>
    </row>
    <row r="18" spans="1:20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-2.6452897712032866</v>
      </c>
      <c r="N18">
        <v>0</v>
      </c>
      <c r="O18">
        <v>0</v>
      </c>
      <c r="P18">
        <v>0</v>
      </c>
      <c r="Q18">
        <v>0</v>
      </c>
      <c r="R18">
        <v>2.6452897712032866</v>
      </c>
      <c r="S18">
        <v>0</v>
      </c>
      <c r="T18">
        <v>0</v>
      </c>
    </row>
    <row r="19" spans="1:20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-34.126805054151632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34.126805054151632</v>
      </c>
      <c r="T19">
        <v>0</v>
      </c>
    </row>
    <row r="20" spans="1:20">
      <c r="A20">
        <v>-0.15885563711650663</v>
      </c>
      <c r="B20">
        <v>0</v>
      </c>
      <c r="C20">
        <v>-5.8784217137850812</v>
      </c>
      <c r="D20">
        <v>0</v>
      </c>
      <c r="E20">
        <v>-2.4955564478005363</v>
      </c>
      <c r="F20">
        <v>0</v>
      </c>
      <c r="G20">
        <v>0</v>
      </c>
      <c r="H20">
        <v>-9.9198366420123243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-2.8342390405749494</v>
      </c>
      <c r="Q20">
        <v>0</v>
      </c>
      <c r="R20">
        <v>0</v>
      </c>
      <c r="S20">
        <v>0</v>
      </c>
      <c r="T20">
        <v>21.286221794548631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T20"/>
  <sheetViews>
    <sheetView zoomScale="50" zoomScaleNormal="50" workbookViewId="0">
      <selection sqref="A1:XFD1048576"/>
    </sheetView>
  </sheetViews>
  <sheetFormatPr defaultRowHeight="14.5"/>
  <cols>
    <col min="1" max="1" width="13.90625" bestFit="1" customWidth="1"/>
    <col min="22" max="22" width="13.90625" bestFit="1" customWidth="1"/>
  </cols>
  <sheetData>
    <row r="1" spans="1:20">
      <c r="A1">
        <v>-16.736794776770527</v>
      </c>
      <c r="B1">
        <v>4.2639381249652804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12.42134449360284</v>
      </c>
    </row>
    <row r="2" spans="1:20">
      <c r="A2">
        <v>4.2639381249652804</v>
      </c>
      <c r="B2">
        <v>-31.724566071539453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27.32799081845247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</row>
    <row r="3" spans="1:20">
      <c r="A3">
        <v>0</v>
      </c>
      <c r="B3">
        <v>0</v>
      </c>
      <c r="C3">
        <v>-38.382799573570473</v>
      </c>
      <c r="D3">
        <v>18.183588511296541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20.203987234773933</v>
      </c>
    </row>
    <row r="4" spans="1:20">
      <c r="A4">
        <v>0</v>
      </c>
      <c r="B4">
        <v>0</v>
      </c>
      <c r="C4">
        <v>18.183588511296541</v>
      </c>
      <c r="D4">
        <v>-127.28218684157578</v>
      </c>
      <c r="E4">
        <v>109.10153106777923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>
      <c r="A5">
        <v>0</v>
      </c>
      <c r="B5">
        <v>0</v>
      </c>
      <c r="C5">
        <v>0</v>
      </c>
      <c r="D5">
        <v>109.10153106777923</v>
      </c>
      <c r="E5">
        <v>-130.97457677217309</v>
      </c>
      <c r="F5">
        <v>13.305064764363321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8.5771645979026836</v>
      </c>
    </row>
    <row r="6" spans="1:20">
      <c r="A6">
        <v>0</v>
      </c>
      <c r="B6">
        <v>0</v>
      </c>
      <c r="C6">
        <v>0</v>
      </c>
      <c r="D6">
        <v>0</v>
      </c>
      <c r="E6">
        <v>13.305064764363321</v>
      </c>
      <c r="F6">
        <v>-47.394517050544337</v>
      </c>
      <c r="G6">
        <v>34.094228458681016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>
      <c r="A7">
        <v>0</v>
      </c>
      <c r="B7">
        <v>0</v>
      </c>
      <c r="C7">
        <v>0</v>
      </c>
      <c r="D7">
        <v>0</v>
      </c>
      <c r="E7">
        <v>0</v>
      </c>
      <c r="F7">
        <v>34.094228458681016</v>
      </c>
      <c r="G7">
        <v>-54.28795272917035</v>
      </c>
      <c r="H7">
        <v>7.5138797080463746</v>
      </c>
      <c r="I7">
        <v>6.1292994981898454</v>
      </c>
      <c r="J7">
        <v>0</v>
      </c>
      <c r="K7">
        <v>0</v>
      </c>
      <c r="L7">
        <v>0</v>
      </c>
      <c r="M7">
        <v>6.5723813896252556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1:20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7.5138797080463746</v>
      </c>
      <c r="H8">
        <v>-48.966208578502489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7.371725072147246</v>
      </c>
      <c r="R8">
        <v>0</v>
      </c>
      <c r="S8">
        <v>0</v>
      </c>
      <c r="T8">
        <v>34.094228458681016</v>
      </c>
    </row>
    <row r="9" spans="1:20">
      <c r="A9">
        <v>0</v>
      </c>
      <c r="B9">
        <v>27.32799081845247</v>
      </c>
      <c r="C9">
        <v>0</v>
      </c>
      <c r="D9">
        <v>0</v>
      </c>
      <c r="E9">
        <v>0</v>
      </c>
      <c r="F9">
        <v>0</v>
      </c>
      <c r="G9">
        <v>6.1292994981898454</v>
      </c>
      <c r="H9">
        <v>0</v>
      </c>
      <c r="I9">
        <v>-257.11963940766236</v>
      </c>
      <c r="J9">
        <v>143.55464794318823</v>
      </c>
      <c r="K9">
        <v>55.664045379777768</v>
      </c>
      <c r="L9">
        <v>24.572416062686059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143.55464794318823</v>
      </c>
      <c r="J10">
        <v>-211.74211610905425</v>
      </c>
      <c r="K10">
        <v>68.188456917362032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55.664045379777768</v>
      </c>
      <c r="J11">
        <v>68.188456917362032</v>
      </c>
      <c r="K11">
        <v>-280.83281605972127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156.98330324909747</v>
      </c>
      <c r="T11">
        <v>0</v>
      </c>
    </row>
    <row r="12" spans="1:20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24.572416062686059</v>
      </c>
      <c r="J12">
        <v>0</v>
      </c>
      <c r="K12">
        <v>0</v>
      </c>
      <c r="L12">
        <v>-37.680235374038418</v>
      </c>
      <c r="M12">
        <v>13.113165272788427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6.5723813896252556</v>
      </c>
      <c r="H13">
        <v>0</v>
      </c>
      <c r="I13">
        <v>0</v>
      </c>
      <c r="J13">
        <v>0</v>
      </c>
      <c r="K13">
        <v>0</v>
      </c>
      <c r="L13">
        <v>13.113165272788427</v>
      </c>
      <c r="M13">
        <v>-34.484018390662364</v>
      </c>
      <c r="N13">
        <v>5.7301226137168353</v>
      </c>
      <c r="O13">
        <v>0</v>
      </c>
      <c r="P13">
        <v>0</v>
      </c>
      <c r="Q13">
        <v>0</v>
      </c>
      <c r="R13">
        <v>9.0917942556482707</v>
      </c>
      <c r="S13">
        <v>0</v>
      </c>
      <c r="T13">
        <v>0</v>
      </c>
    </row>
    <row r="14" spans="1:20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5.7301226137168353</v>
      </c>
      <c r="N14">
        <v>-21.305145840155298</v>
      </c>
      <c r="O14">
        <v>0</v>
      </c>
      <c r="P14">
        <v>0</v>
      </c>
      <c r="Q14">
        <v>15.58593300968275</v>
      </c>
      <c r="R14">
        <v>0</v>
      </c>
      <c r="S14">
        <v>0</v>
      </c>
      <c r="T14">
        <v>0</v>
      </c>
    </row>
    <row r="15" spans="1:20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-18.181074736296541</v>
      </c>
      <c r="P15">
        <v>0</v>
      </c>
      <c r="Q15">
        <v>18.183588511296541</v>
      </c>
      <c r="R15">
        <v>0</v>
      </c>
      <c r="S15">
        <v>0</v>
      </c>
      <c r="T15">
        <v>0</v>
      </c>
    </row>
    <row r="16" spans="1:20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-9.7365157510517175</v>
      </c>
      <c r="Q16">
        <v>0</v>
      </c>
      <c r="R16">
        <v>0</v>
      </c>
      <c r="S16">
        <v>0</v>
      </c>
      <c r="T16">
        <v>9.7412081310517173</v>
      </c>
    </row>
    <row r="17" spans="1:20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7.371725072147246</v>
      </c>
      <c r="I17">
        <v>0</v>
      </c>
      <c r="J17">
        <v>0</v>
      </c>
      <c r="K17">
        <v>0</v>
      </c>
      <c r="L17">
        <v>0</v>
      </c>
      <c r="M17">
        <v>0</v>
      </c>
      <c r="N17">
        <v>15.58593300968275</v>
      </c>
      <c r="O17">
        <v>18.183588511296541</v>
      </c>
      <c r="P17">
        <v>0</v>
      </c>
      <c r="Q17">
        <v>-41.129599435626538</v>
      </c>
      <c r="R17">
        <v>0</v>
      </c>
      <c r="S17">
        <v>0</v>
      </c>
      <c r="T17">
        <v>0</v>
      </c>
    </row>
    <row r="18" spans="1:20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9.0917942556482707</v>
      </c>
      <c r="N18">
        <v>0</v>
      </c>
      <c r="O18">
        <v>0</v>
      </c>
      <c r="P18">
        <v>0</v>
      </c>
      <c r="Q18">
        <v>0</v>
      </c>
      <c r="R18">
        <v>-9.0867667056482713</v>
      </c>
      <c r="S18">
        <v>0</v>
      </c>
      <c r="T18">
        <v>0</v>
      </c>
    </row>
    <row r="19" spans="1:20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156.98330324909747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-156.98180526909746</v>
      </c>
      <c r="T19">
        <v>0</v>
      </c>
    </row>
    <row r="20" spans="1:20">
      <c r="A20">
        <v>12.42134449360284</v>
      </c>
      <c r="B20">
        <v>0</v>
      </c>
      <c r="C20">
        <v>20.203987234773933</v>
      </c>
      <c r="D20">
        <v>0</v>
      </c>
      <c r="E20">
        <v>8.5771645979026836</v>
      </c>
      <c r="F20">
        <v>0</v>
      </c>
      <c r="G20">
        <v>0</v>
      </c>
      <c r="H20">
        <v>34.094228458681016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9.7412081310517173</v>
      </c>
      <c r="Q20">
        <v>0</v>
      </c>
      <c r="R20">
        <v>0</v>
      </c>
      <c r="S20">
        <v>0</v>
      </c>
      <c r="T20">
        <v>-84.970536201555191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AM71"/>
  <sheetViews>
    <sheetView topLeftCell="R1" zoomScale="50" zoomScaleNormal="50" workbookViewId="0">
      <selection activeCell="AL34" sqref="AL34"/>
    </sheetView>
  </sheetViews>
  <sheetFormatPr defaultRowHeight="14.5"/>
  <cols>
    <col min="1" max="1" width="9.54296875" customWidth="1"/>
    <col min="8" max="22" width="13.453125" bestFit="1" customWidth="1"/>
    <col min="23" max="31" width="14.90625" bestFit="1" customWidth="1"/>
    <col min="32" max="32" width="13.453125" bestFit="1" customWidth="1"/>
    <col min="33" max="35" width="14.90625" bestFit="1" customWidth="1"/>
    <col min="37" max="37" width="14.90625" bestFit="1" customWidth="1"/>
    <col min="38" max="38" width="14" bestFit="1" customWidth="1"/>
    <col min="39" max="39" width="9.453125" bestFit="1" customWidth="1"/>
    <col min="40" max="40" width="13.90625" bestFit="1" customWidth="1"/>
  </cols>
  <sheetData>
    <row r="1" spans="1:39">
      <c r="A1">
        <v>17.552985092318895</v>
      </c>
      <c r="B1">
        <v>-4.4872914941320783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1.0194336104819808</v>
      </c>
      <c r="U1">
        <v>-0.7417762937126795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K1">
        <v>2.7430037926283357E-5</v>
      </c>
      <c r="AM1">
        <v>-1.1051137433753637E-5</v>
      </c>
    </row>
    <row r="2" spans="1:39">
      <c r="A2">
        <v>-4.4457709022972942</v>
      </c>
      <c r="B2">
        <v>33.21168550263878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-28.765914600341471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-0.95975940084529643</v>
      </c>
      <c r="U2">
        <v>1.1207343648912877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-0.16099728822494813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K2">
        <v>1.1162089478629366E-5</v>
      </c>
      <c r="AM2">
        <v>-4.9161324329242532E-5</v>
      </c>
    </row>
    <row r="3" spans="1:39">
      <c r="A3">
        <v>0</v>
      </c>
      <c r="B3">
        <v>0</v>
      </c>
      <c r="C3">
        <v>39.360512520621278</v>
      </c>
      <c r="D3">
        <v>-18.499021715266625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11.303662230979267</v>
      </c>
      <c r="W3">
        <v>-4.992186310444386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K3">
        <v>1.0332564190038691E-5</v>
      </c>
      <c r="AM3">
        <v>-2.176859549599017E-6</v>
      </c>
    </row>
    <row r="4" spans="1:39">
      <c r="A4">
        <v>0</v>
      </c>
      <c r="B4">
        <v>0</v>
      </c>
      <c r="C4">
        <v>-18.289699214475718</v>
      </c>
      <c r="D4">
        <v>127.29295436247297</v>
      </c>
      <c r="E4">
        <v>-109.00325514799725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-5.7116224686249017</v>
      </c>
      <c r="W4">
        <v>36.857266099410282</v>
      </c>
      <c r="X4">
        <v>-31.467674229747235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K4">
        <v>1.5299480928561153E-5</v>
      </c>
      <c r="AM4">
        <v>-5.6798029484488185E-6</v>
      </c>
    </row>
    <row r="5" spans="1:39">
      <c r="A5">
        <v>0</v>
      </c>
      <c r="B5">
        <v>0</v>
      </c>
      <c r="C5">
        <v>0</v>
      </c>
      <c r="D5">
        <v>-108.87062958484471</v>
      </c>
      <c r="E5">
        <v>130.85087246399081</v>
      </c>
      <c r="F5">
        <v>-13.302015289387548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-31.923504946800911</v>
      </c>
      <c r="X5">
        <v>37.436635859661571</v>
      </c>
      <c r="Y5">
        <v>-3.7173094294308213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K5">
        <v>1.3715312284512404E-5</v>
      </c>
      <c r="AM5">
        <v>-6.429340037992033E-6</v>
      </c>
    </row>
    <row r="6" spans="1:39">
      <c r="A6">
        <v>0</v>
      </c>
      <c r="B6">
        <v>0</v>
      </c>
      <c r="C6">
        <v>0</v>
      </c>
      <c r="D6">
        <v>0</v>
      </c>
      <c r="E6">
        <v>-13.219954120824706</v>
      </c>
      <c r="F6">
        <v>47.239353033492108</v>
      </c>
      <c r="G6">
        <v>-34.019398912667398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-3.9993515970123532</v>
      </c>
      <c r="Y6">
        <v>13.654825892196197</v>
      </c>
      <c r="Z6">
        <v>-9.8194862965138832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K6">
        <v>6.0006650199861923E-6</v>
      </c>
      <c r="AM6">
        <v>-1.8503942971992146E-5</v>
      </c>
    </row>
    <row r="7" spans="1:39">
      <c r="A7">
        <v>0</v>
      </c>
      <c r="B7">
        <v>0</v>
      </c>
      <c r="C7">
        <v>0</v>
      </c>
      <c r="D7">
        <v>0</v>
      </c>
      <c r="E7">
        <v>0</v>
      </c>
      <c r="F7">
        <v>-33.977242295515296</v>
      </c>
      <c r="G7">
        <v>54.395859697396986</v>
      </c>
      <c r="H7">
        <v>-7.5585083669942374</v>
      </c>
      <c r="I7">
        <v>-6.2618033326630549</v>
      </c>
      <c r="J7">
        <v>0</v>
      </c>
      <c r="K7">
        <v>0</v>
      </c>
      <c r="L7">
        <v>0</v>
      </c>
      <c r="M7">
        <v>-6.5983057022244038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-9.9643775268937951</v>
      </c>
      <c r="Z7">
        <v>14.92484674460041</v>
      </c>
      <c r="AA7">
        <v>-2.5941915633243382</v>
      </c>
      <c r="AB7">
        <v>-1.9601546624556683</v>
      </c>
      <c r="AC7">
        <v>0</v>
      </c>
      <c r="AD7">
        <v>0</v>
      </c>
      <c r="AE7">
        <v>0</v>
      </c>
      <c r="AF7">
        <v>-2.1061756161068406</v>
      </c>
      <c r="AG7">
        <v>0</v>
      </c>
      <c r="AH7">
        <v>0</v>
      </c>
      <c r="AI7">
        <v>0</v>
      </c>
      <c r="AK7">
        <v>2.6312090116475929E-5</v>
      </c>
      <c r="AM7">
        <v>-2.3618203638161851E-5</v>
      </c>
    </row>
    <row r="8" spans="1:39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-7.7704313020760098</v>
      </c>
      <c r="H8">
        <v>51.299933437998355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-7.8323022698007039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-1.8658177780432885</v>
      </c>
      <c r="AA8">
        <v>14.486531637778331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K8">
        <v>-5.032286225246097E-5</v>
      </c>
      <c r="AM8">
        <v>-8.9959977425339437E-6</v>
      </c>
    </row>
    <row r="9" spans="1:39">
      <c r="A9">
        <v>0</v>
      </c>
      <c r="B9">
        <v>-28.763874555827318</v>
      </c>
      <c r="C9">
        <v>0</v>
      </c>
      <c r="D9">
        <v>0</v>
      </c>
      <c r="E9">
        <v>0</v>
      </c>
      <c r="F9">
        <v>0</v>
      </c>
      <c r="G9">
        <v>-6.3359789985236414</v>
      </c>
      <c r="H9">
        <v>0</v>
      </c>
      <c r="I9">
        <v>272.25770431044276</v>
      </c>
      <c r="J9">
        <v>-152.11738786679439</v>
      </c>
      <c r="K9">
        <v>-59.300918698482782</v>
      </c>
      <c r="L9">
        <v>-25.739544190814623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-0.37852801426585542</v>
      </c>
      <c r="V9">
        <v>0</v>
      </c>
      <c r="W9">
        <v>0</v>
      </c>
      <c r="X9">
        <v>0</v>
      </c>
      <c r="Y9">
        <v>0</v>
      </c>
      <c r="Z9">
        <v>-1.7052147688676003</v>
      </c>
      <c r="AA9">
        <v>0</v>
      </c>
      <c r="AB9">
        <v>70.691085778874651</v>
      </c>
      <c r="AC9">
        <v>-44.33603841632204</v>
      </c>
      <c r="AD9">
        <v>-17.739713343332088</v>
      </c>
      <c r="AE9">
        <v>-7.2856822496661975</v>
      </c>
      <c r="AF9">
        <v>0</v>
      </c>
      <c r="AG9">
        <v>0</v>
      </c>
      <c r="AH9">
        <v>0</v>
      </c>
      <c r="AI9">
        <v>0</v>
      </c>
      <c r="AK9">
        <v>4.5506789562028694E-5</v>
      </c>
      <c r="AM9">
        <v>-5.5587930026221029E-5</v>
      </c>
    </row>
    <row r="10" spans="1:39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-152.15866823384431</v>
      </c>
      <c r="J10">
        <v>224.91291981753389</v>
      </c>
      <c r="K10">
        <v>-72.754251583689538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-44.194158835453024</v>
      </c>
      <c r="AC10">
        <v>64.841238579196244</v>
      </c>
      <c r="AD10">
        <v>-21.72728740701891</v>
      </c>
      <c r="AE10">
        <v>0</v>
      </c>
      <c r="AF10">
        <v>0</v>
      </c>
      <c r="AG10">
        <v>0</v>
      </c>
      <c r="AH10">
        <v>0</v>
      </c>
      <c r="AI10">
        <v>0</v>
      </c>
      <c r="AK10">
        <v>1.0383163785047332E-4</v>
      </c>
      <c r="AM10">
        <v>-5.7134729214150766E-5</v>
      </c>
    </row>
    <row r="11" spans="1:39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-59.561600111210836</v>
      </c>
      <c r="J11">
        <v>-73.054246609211631</v>
      </c>
      <c r="K11">
        <v>302.64449308614451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-170.02864636572198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-16.843757899586102</v>
      </c>
      <c r="AC11">
        <v>-20.696212067199276</v>
      </c>
      <c r="AD11">
        <v>75.207048290523531</v>
      </c>
      <c r="AE11">
        <v>0</v>
      </c>
      <c r="AF11">
        <v>0</v>
      </c>
      <c r="AG11">
        <v>0</v>
      </c>
      <c r="AH11">
        <v>0</v>
      </c>
      <c r="AI11">
        <v>0</v>
      </c>
      <c r="AK11">
        <v>-4.1637059098948326E-4</v>
      </c>
      <c r="AM11">
        <v>-6.1804045105273256E-5</v>
      </c>
    </row>
    <row r="12" spans="1:39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-25.630459805582735</v>
      </c>
      <c r="J12">
        <v>0</v>
      </c>
      <c r="K12">
        <v>0</v>
      </c>
      <c r="L12">
        <v>39.072700504422841</v>
      </c>
      <c r="M12">
        <v>-13.442240698840095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-7.6606025316816888</v>
      </c>
      <c r="AC12">
        <v>0</v>
      </c>
      <c r="AD12">
        <v>0</v>
      </c>
      <c r="AE12">
        <v>10.880449094247568</v>
      </c>
      <c r="AF12">
        <v>-4.0999297797273355</v>
      </c>
      <c r="AG12">
        <v>0</v>
      </c>
      <c r="AH12">
        <v>0</v>
      </c>
      <c r="AI12">
        <v>0</v>
      </c>
      <c r="AK12">
        <v>4.160858072854934E-5</v>
      </c>
      <c r="AM12">
        <v>-5.0833875685236637E-5</v>
      </c>
    </row>
    <row r="13" spans="1:39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-6.6982943086367692</v>
      </c>
      <c r="H13">
        <v>0</v>
      </c>
      <c r="I13">
        <v>0</v>
      </c>
      <c r="J13">
        <v>0</v>
      </c>
      <c r="K13">
        <v>0</v>
      </c>
      <c r="L13">
        <v>-13.543563565352089</v>
      </c>
      <c r="M13">
        <v>35.688550022784405</v>
      </c>
      <c r="N13">
        <v>-5.9572315787896732</v>
      </c>
      <c r="O13">
        <v>0</v>
      </c>
      <c r="P13">
        <v>0</v>
      </c>
      <c r="Q13">
        <v>0</v>
      </c>
      <c r="R13">
        <v>-9.4894605700058854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-1.7625172965887086</v>
      </c>
      <c r="AA13">
        <v>0</v>
      </c>
      <c r="AB13">
        <v>0</v>
      </c>
      <c r="AC13">
        <v>0</v>
      </c>
      <c r="AD13">
        <v>0</v>
      </c>
      <c r="AE13">
        <v>-3.7516856418835927</v>
      </c>
      <c r="AF13">
        <v>9.5376701231751451</v>
      </c>
      <c r="AG13">
        <v>-2.0485671550023419</v>
      </c>
      <c r="AH13">
        <v>0</v>
      </c>
      <c r="AI13">
        <v>0</v>
      </c>
      <c r="AK13">
        <v>-1.6022958742358808E-5</v>
      </c>
      <c r="AM13">
        <v>-4.4473731066719768E-5</v>
      </c>
    </row>
    <row r="14" spans="1:39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-6.1263815618573032</v>
      </c>
      <c r="N14">
        <v>23.160760170103352</v>
      </c>
      <c r="O14">
        <v>0</v>
      </c>
      <c r="P14">
        <v>0</v>
      </c>
      <c r="Q14">
        <v>-17.03437860824604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-1.4672029274841871</v>
      </c>
      <c r="AG14">
        <v>6.7011898677199362</v>
      </c>
      <c r="AH14">
        <v>0</v>
      </c>
      <c r="AI14">
        <v>0</v>
      </c>
      <c r="AK14">
        <v>-6.8760828426498718E-5</v>
      </c>
      <c r="AM14">
        <v>-4.212170314710195E-5</v>
      </c>
    </row>
    <row r="15" spans="1:39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20.057942686614265</v>
      </c>
      <c r="P15">
        <v>0</v>
      </c>
      <c r="Q15">
        <v>-20.057942686614261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5.6335079851220309</v>
      </c>
      <c r="AI15">
        <v>0</v>
      </c>
      <c r="AK15">
        <v>-1.6536571669119044E-5</v>
      </c>
      <c r="AM15">
        <v>-3.9203262451698087E-5</v>
      </c>
    </row>
    <row r="16" spans="1:39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10.674655794356985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3.6805418941630226</v>
      </c>
      <c r="AK16">
        <v>-1.4635492246250603E-4</v>
      </c>
      <c r="AM16">
        <v>-7.9022729665272095E-6</v>
      </c>
    </row>
    <row r="17" spans="1:39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-8.0419423248847561</v>
      </c>
      <c r="I17">
        <v>0</v>
      </c>
      <c r="J17">
        <v>0</v>
      </c>
      <c r="K17">
        <v>0</v>
      </c>
      <c r="L17">
        <v>0</v>
      </c>
      <c r="M17">
        <v>0</v>
      </c>
      <c r="N17">
        <v>-17.223028464181066</v>
      </c>
      <c r="O17">
        <v>-20.142464363577371</v>
      </c>
      <c r="P17">
        <v>0</v>
      </c>
      <c r="Q17">
        <v>45.407435152643188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-1.9490700792137561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-4.6594646196089418</v>
      </c>
      <c r="AH17">
        <v>-5.7029760390550583</v>
      </c>
      <c r="AI17">
        <v>0</v>
      </c>
      <c r="AK17">
        <v>-1.336850639412912E-4</v>
      </c>
      <c r="AM17">
        <v>-3.9986993307738484E-5</v>
      </c>
    </row>
    <row r="18" spans="1:39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-9.883178325617596</v>
      </c>
      <c r="N18">
        <v>0</v>
      </c>
      <c r="O18">
        <v>0</v>
      </c>
      <c r="P18">
        <v>0</v>
      </c>
      <c r="Q18">
        <v>0</v>
      </c>
      <c r="R18">
        <v>9.8831783256175996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-2.1416699834032733</v>
      </c>
      <c r="AG18">
        <v>0</v>
      </c>
      <c r="AH18">
        <v>0</v>
      </c>
      <c r="AI18">
        <v>0</v>
      </c>
      <c r="AK18">
        <v>-6.7137366265002097E-5</v>
      </c>
      <c r="AM18">
        <v>-5.4204555424369988E-5</v>
      </c>
    </row>
    <row r="19" spans="1:39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-170.62793186337868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170.62793186337868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-35.649532293335305</v>
      </c>
      <c r="AE19">
        <v>0</v>
      </c>
      <c r="AF19">
        <v>0</v>
      </c>
      <c r="AG19">
        <v>0</v>
      </c>
      <c r="AH19">
        <v>0</v>
      </c>
      <c r="AI19">
        <v>0</v>
      </c>
      <c r="AK19">
        <v>-2.1951171885339351E-4</v>
      </c>
      <c r="AM19">
        <v>-6.4288244376570932E-5</v>
      </c>
    </row>
    <row r="20" spans="1:39">
      <c r="A20">
        <v>-1.0194884705578333</v>
      </c>
      <c r="B20">
        <v>0.7417762937126795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17.553199314201589</v>
      </c>
      <c r="U20">
        <v>-4.4872914941320783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K20">
        <v>-1.0711094134594126E-4</v>
      </c>
      <c r="AM20">
        <v>-7.6237986642088292E-6</v>
      </c>
    </row>
    <row r="21" spans="1:39">
      <c r="A21">
        <v>0.95975940084529643</v>
      </c>
      <c r="B21">
        <v>-1.1207566890702449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0.16099728822494813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-4.4457709022972942</v>
      </c>
      <c r="U21">
        <v>33.211824674213538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-28.765914600341471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-6.9585787380498115E-5</v>
      </c>
      <c r="AM21">
        <v>-1.1568518328001187E-5</v>
      </c>
    </row>
    <row r="22" spans="1:39">
      <c r="A22">
        <v>0</v>
      </c>
      <c r="B22">
        <v>0</v>
      </c>
      <c r="C22">
        <v>-11.573682896107648</v>
      </c>
      <c r="D22">
        <v>4.992186310444386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39.258562958629298</v>
      </c>
      <c r="W22">
        <v>-18.499021715266625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K22">
        <v>-2.521900401227628E-5</v>
      </c>
      <c r="AM22">
        <v>-4.3751609712231407E-6</v>
      </c>
    </row>
    <row r="23" spans="1:39">
      <c r="A23">
        <v>0</v>
      </c>
      <c r="B23">
        <v>0</v>
      </c>
      <c r="C23">
        <v>5.7116224686249017</v>
      </c>
      <c r="D23">
        <v>-37.179296698372134</v>
      </c>
      <c r="E23">
        <v>31.467674229747235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-18.289699214475718</v>
      </c>
      <c r="W23">
        <v>127.16298252905202</v>
      </c>
      <c r="X23">
        <v>-109.00325514799725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K23">
        <v>-1.4083289525468887E-5</v>
      </c>
      <c r="AM23">
        <v>-8.0925296009531474E-6</v>
      </c>
    </row>
    <row r="24" spans="1:39">
      <c r="A24">
        <v>0</v>
      </c>
      <c r="B24">
        <v>0</v>
      </c>
      <c r="C24">
        <v>0</v>
      </c>
      <c r="D24">
        <v>31.923504946800911</v>
      </c>
      <c r="E24">
        <v>-38.58666329028614</v>
      </c>
      <c r="F24">
        <v>3.7173094294308213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-108.87062958484471</v>
      </c>
      <c r="X24">
        <v>130.42097033645933</v>
      </c>
      <c r="Y24">
        <v>-13.302015289387548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K24">
        <v>-4.8936234260558157E-5</v>
      </c>
      <c r="AM24">
        <v>-8.6102495748146422E-6</v>
      </c>
    </row>
    <row r="25" spans="1:39">
      <c r="A25">
        <v>0</v>
      </c>
      <c r="B25">
        <v>0</v>
      </c>
      <c r="C25">
        <v>0</v>
      </c>
      <c r="D25">
        <v>0</v>
      </c>
      <c r="E25">
        <v>3.9993515970123532</v>
      </c>
      <c r="F25">
        <v>-13.818837893526236</v>
      </c>
      <c r="G25">
        <v>9.8194862965138832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-13.219954120824706</v>
      </c>
      <c r="Y25">
        <v>47.177421953997118</v>
      </c>
      <c r="Z25">
        <v>-34.019398912667398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K25">
        <v>-3.4460252503956402E-5</v>
      </c>
      <c r="AM25">
        <v>-1.4659387565131397E-5</v>
      </c>
    </row>
    <row r="26" spans="1:39">
      <c r="A26">
        <v>0</v>
      </c>
      <c r="B26">
        <v>0</v>
      </c>
      <c r="C26">
        <v>0</v>
      </c>
      <c r="D26">
        <v>0</v>
      </c>
      <c r="E26">
        <v>0</v>
      </c>
      <c r="F26">
        <v>9.9643775268937951</v>
      </c>
      <c r="G26">
        <v>-16.624899368780643</v>
      </c>
      <c r="H26">
        <v>2.5941915633243382</v>
      </c>
      <c r="I26">
        <v>1.9601546624556683</v>
      </c>
      <c r="J26">
        <v>0</v>
      </c>
      <c r="K26">
        <v>0</v>
      </c>
      <c r="L26">
        <v>0</v>
      </c>
      <c r="M26">
        <v>2.1061756161068406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-33.977242295515296</v>
      </c>
      <c r="Z26">
        <v>53.996223610860241</v>
      </c>
      <c r="AA26">
        <v>-7.5585083669942374</v>
      </c>
      <c r="AB26">
        <v>-6.2618033326630549</v>
      </c>
      <c r="AC26">
        <v>0</v>
      </c>
      <c r="AD26">
        <v>0</v>
      </c>
      <c r="AE26">
        <v>0</v>
      </c>
      <c r="AF26">
        <v>-6.5983057022244038</v>
      </c>
      <c r="AG26">
        <v>0</v>
      </c>
      <c r="AH26">
        <v>0</v>
      </c>
      <c r="AI26">
        <v>0</v>
      </c>
      <c r="AK26">
        <v>-1.8195673162420544E-4</v>
      </c>
      <c r="AM26">
        <v>-1.6027137554549017E-5</v>
      </c>
    </row>
    <row r="27" spans="1:39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1.8658177780432885</v>
      </c>
      <c r="H27">
        <v>-15.286430992053827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2.6695976634942378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-7.7704313020760098</v>
      </c>
      <c r="AA27">
        <v>51.000523830635665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K27">
        <v>-2.9519631865566052E-4</v>
      </c>
      <c r="AM27">
        <v>-7.9692189417465035E-6</v>
      </c>
    </row>
    <row r="28" spans="1:39">
      <c r="A28">
        <v>0</v>
      </c>
      <c r="B28">
        <v>0.37852801426585542</v>
      </c>
      <c r="C28">
        <v>0</v>
      </c>
      <c r="D28">
        <v>0</v>
      </c>
      <c r="E28">
        <v>0</v>
      </c>
      <c r="F28">
        <v>0</v>
      </c>
      <c r="G28">
        <v>1.7052147688676003</v>
      </c>
      <c r="H28">
        <v>0</v>
      </c>
      <c r="I28">
        <v>-71.445176792453765</v>
      </c>
      <c r="J28">
        <v>44.33603841632204</v>
      </c>
      <c r="K28">
        <v>17.739713343332088</v>
      </c>
      <c r="L28">
        <v>7.2856822496661975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-28.763874555827318</v>
      </c>
      <c r="V28">
        <v>0</v>
      </c>
      <c r="W28">
        <v>0</v>
      </c>
      <c r="X28">
        <v>0</v>
      </c>
      <c r="Y28">
        <v>0</v>
      </c>
      <c r="Z28">
        <v>-6.3359789985236414</v>
      </c>
      <c r="AA28">
        <v>0</v>
      </c>
      <c r="AB28">
        <v>271.97606544654246</v>
      </c>
      <c r="AC28">
        <v>-152.11738786679439</v>
      </c>
      <c r="AD28">
        <v>-59.300918698482782</v>
      </c>
      <c r="AE28">
        <v>-25.739544190814623</v>
      </c>
      <c r="AF28">
        <v>0</v>
      </c>
      <c r="AG28">
        <v>0</v>
      </c>
      <c r="AH28">
        <v>0</v>
      </c>
      <c r="AI28">
        <v>0</v>
      </c>
      <c r="AK28">
        <v>-1.8056804986608553E-4</v>
      </c>
      <c r="AM28">
        <v>-8.5236368166464612E-6</v>
      </c>
    </row>
    <row r="29" spans="1:39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44.194158835453024</v>
      </c>
      <c r="J29">
        <v>-65.921446242471944</v>
      </c>
      <c r="K29">
        <v>21.72728740701891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-152.15866823384431</v>
      </c>
      <c r="AC29">
        <v>224.51303273575508</v>
      </c>
      <c r="AD29">
        <v>-72.754251583689538</v>
      </c>
      <c r="AE29">
        <v>0</v>
      </c>
      <c r="AF29">
        <v>0</v>
      </c>
      <c r="AG29">
        <v>0</v>
      </c>
      <c r="AH29">
        <v>0</v>
      </c>
      <c r="AI29">
        <v>0</v>
      </c>
      <c r="AK29">
        <v>-5.6459110595225018E-5</v>
      </c>
      <c r="AM29">
        <v>-7.7384295785024979E-6</v>
      </c>
    </row>
    <row r="30" spans="1:39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16.843757899586102</v>
      </c>
      <c r="J30">
        <v>20.696212067199276</v>
      </c>
      <c r="K30">
        <v>-75.946215549341545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38.406245582556153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-59.561600111210836</v>
      </c>
      <c r="AC30">
        <v>-73.054246609211631</v>
      </c>
      <c r="AD30">
        <v>302.36560185136528</v>
      </c>
      <c r="AE30">
        <v>0</v>
      </c>
      <c r="AF30">
        <v>0</v>
      </c>
      <c r="AG30">
        <v>0</v>
      </c>
      <c r="AH30">
        <v>0</v>
      </c>
      <c r="AI30">
        <v>0</v>
      </c>
      <c r="AK30">
        <v>-5.5438261038777469E-4</v>
      </c>
      <c r="AM30">
        <v>-5.7325314526734089E-6</v>
      </c>
    </row>
    <row r="31" spans="1:39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7.6606025316816888</v>
      </c>
      <c r="J31">
        <v>0</v>
      </c>
      <c r="K31">
        <v>0</v>
      </c>
      <c r="L31">
        <v>-11.760532311409026</v>
      </c>
      <c r="M31">
        <v>4.0999297797273355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-25.630459805582735</v>
      </c>
      <c r="AC31">
        <v>0</v>
      </c>
      <c r="AD31">
        <v>0</v>
      </c>
      <c r="AE31">
        <v>38.732742997329503</v>
      </c>
      <c r="AF31">
        <v>-13.442240698840095</v>
      </c>
      <c r="AG31">
        <v>0</v>
      </c>
      <c r="AH31">
        <v>0</v>
      </c>
      <c r="AI31">
        <v>0</v>
      </c>
      <c r="AK31">
        <v>-2.1246453332417483E-5</v>
      </c>
      <c r="AM31">
        <v>-1.0626710371808829E-5</v>
      </c>
    </row>
    <row r="32" spans="1:39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1.7625172965887086</v>
      </c>
      <c r="H32">
        <v>0</v>
      </c>
      <c r="I32">
        <v>0</v>
      </c>
      <c r="J32">
        <v>0</v>
      </c>
      <c r="K32">
        <v>0</v>
      </c>
      <c r="L32">
        <v>3.7516856418835927</v>
      </c>
      <c r="M32">
        <v>-11.057638077257661</v>
      </c>
      <c r="N32">
        <v>2.0485671550023419</v>
      </c>
      <c r="O32">
        <v>0</v>
      </c>
      <c r="P32">
        <v>0</v>
      </c>
      <c r="Q32">
        <v>0</v>
      </c>
      <c r="R32">
        <v>3.4948679837830205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-6.6982943086367692</v>
      </c>
      <c r="AA32">
        <v>0</v>
      </c>
      <c r="AB32">
        <v>0</v>
      </c>
      <c r="AC32">
        <v>0</v>
      </c>
      <c r="AD32">
        <v>0</v>
      </c>
      <c r="AE32">
        <v>-13.543563565352089</v>
      </c>
      <c r="AF32">
        <v>35.048911766218616</v>
      </c>
      <c r="AG32">
        <v>-5.9572315787896732</v>
      </c>
      <c r="AH32">
        <v>0</v>
      </c>
      <c r="AI32">
        <v>0</v>
      </c>
      <c r="AK32">
        <v>-1.8087171710439608E-4</v>
      </c>
      <c r="AM32">
        <v>-1.3556760071307124E-5</v>
      </c>
    </row>
    <row r="33" spans="1:39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1.4672029274841871</v>
      </c>
      <c r="N33">
        <v>-6.7750523460630836</v>
      </c>
      <c r="O33">
        <v>0</v>
      </c>
      <c r="P33">
        <v>0</v>
      </c>
      <c r="Q33">
        <v>5.307849418578896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-6.1263815618573032</v>
      </c>
      <c r="AG33">
        <v>23.133038791516228</v>
      </c>
      <c r="AH33">
        <v>0</v>
      </c>
      <c r="AI33">
        <v>0</v>
      </c>
      <c r="AK33">
        <v>-1.3931070643833558E-4</v>
      </c>
      <c r="AM33">
        <v>-9.9530550042853259E-6</v>
      </c>
    </row>
    <row r="34" spans="1:39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-5.9934749119786925</v>
      </c>
      <c r="P34">
        <v>0</v>
      </c>
      <c r="Q34">
        <v>5.9934749119786925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19.89817994899261</v>
      </c>
      <c r="AI34">
        <v>0</v>
      </c>
      <c r="AK34">
        <v>-1.1863118917247561E-4</v>
      </c>
      <c r="AM34">
        <v>-5.7258461950346405E-6</v>
      </c>
    </row>
    <row r="35" spans="1:39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-2.6262491843180973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10.991184593533204</v>
      </c>
      <c r="AK35">
        <v>-1.6439958810922307E-4</v>
      </c>
      <c r="AM35">
        <v>-1.6845584246739071E-5</v>
      </c>
    </row>
    <row r="46" spans="1:39">
      <c r="I46" s="55"/>
      <c r="O46" s="55"/>
      <c r="W46" s="55"/>
      <c r="X46" s="55"/>
      <c r="Y46" s="55"/>
      <c r="AH46" s="55"/>
    </row>
    <row r="48" spans="1:39">
      <c r="N48" s="55"/>
      <c r="U48" s="55"/>
      <c r="W48" s="55"/>
      <c r="Y48" s="55"/>
      <c r="AA48" s="55"/>
    </row>
    <row r="50" spans="8:35">
      <c r="L50" s="55"/>
      <c r="V50" s="55"/>
      <c r="W50" s="55"/>
      <c r="X50" s="55"/>
      <c r="AA50" s="55"/>
      <c r="AB50" s="55"/>
    </row>
    <row r="51" spans="8:35">
      <c r="J51" s="55"/>
      <c r="L51" s="55"/>
      <c r="AE51" s="55"/>
    </row>
    <row r="57" spans="8:35">
      <c r="L57" s="55"/>
      <c r="N57" s="55"/>
      <c r="O57" s="55"/>
      <c r="P57" s="55"/>
      <c r="W57" s="55"/>
      <c r="X57" s="55"/>
      <c r="Y57" s="55"/>
      <c r="AA57" s="55"/>
      <c r="AB57" s="55"/>
      <c r="AD57" s="55"/>
      <c r="AE57" s="55"/>
    </row>
    <row r="58" spans="8:35">
      <c r="L58" s="55"/>
      <c r="N58" s="55"/>
      <c r="O58" s="55"/>
      <c r="P58" s="55"/>
      <c r="W58" s="55"/>
      <c r="AA58" s="55"/>
      <c r="AB58" s="55"/>
      <c r="AE58" s="55"/>
      <c r="AG58" s="55"/>
      <c r="AH58" s="55"/>
    </row>
    <row r="59" spans="8:35">
      <c r="H59" s="55"/>
      <c r="J59" s="55"/>
      <c r="K59" s="55"/>
      <c r="L59" s="55"/>
      <c r="N59" s="55"/>
      <c r="O59" s="55"/>
      <c r="P59" s="55"/>
      <c r="U59" s="55"/>
      <c r="V59" s="55"/>
      <c r="Y59" s="55"/>
      <c r="AB59" s="55"/>
      <c r="AC59" s="55"/>
      <c r="AD59" s="55"/>
      <c r="AE59" s="55"/>
      <c r="AG59" s="55"/>
    </row>
    <row r="61" spans="8:35">
      <c r="H61" s="55"/>
      <c r="I61" s="55"/>
      <c r="J61" s="55"/>
      <c r="K61" s="55"/>
      <c r="N61" s="55"/>
      <c r="O61" s="55"/>
      <c r="U61" s="55"/>
      <c r="V61" s="55"/>
      <c r="AC61" s="55"/>
      <c r="AE61" s="55"/>
      <c r="AI61" s="55"/>
    </row>
    <row r="62" spans="8:35">
      <c r="J62" s="55"/>
      <c r="N62" s="55"/>
      <c r="O62" s="55"/>
      <c r="U62" s="55"/>
      <c r="AC62" s="55"/>
      <c r="AD62" s="55"/>
      <c r="AH62" s="55"/>
    </row>
    <row r="63" spans="8:35">
      <c r="K63" s="55"/>
      <c r="L63" s="55"/>
      <c r="P63" s="55"/>
      <c r="U63" s="55"/>
      <c r="V63" s="55"/>
      <c r="AD63" s="55"/>
      <c r="AE63" s="55"/>
      <c r="AG63" s="55"/>
    </row>
    <row r="64" spans="8:35">
      <c r="K64" s="55"/>
      <c r="L64" s="55"/>
      <c r="V64" s="55"/>
      <c r="X64" s="55"/>
      <c r="AD64" s="55"/>
      <c r="AG64" s="55"/>
    </row>
    <row r="65" spans="10:35">
      <c r="O65" s="55"/>
      <c r="W65" s="55"/>
      <c r="Y65" s="55"/>
      <c r="AH65" s="55"/>
    </row>
    <row r="66" spans="10:35">
      <c r="P66" s="55"/>
      <c r="W66" s="55"/>
      <c r="X66" s="55"/>
      <c r="Y66" s="55"/>
      <c r="Z66" s="55"/>
      <c r="AI66" s="55"/>
    </row>
    <row r="67" spans="10:35">
      <c r="N67" s="55"/>
      <c r="O67" s="55"/>
      <c r="U67" s="55"/>
      <c r="V67" s="55"/>
      <c r="W67" s="55"/>
      <c r="Y67" s="55"/>
      <c r="Z67" s="55"/>
      <c r="AA67" s="55"/>
      <c r="AG67" s="55"/>
      <c r="AI67" s="55"/>
    </row>
    <row r="68" spans="10:35">
      <c r="AC68" s="55"/>
      <c r="AH68" s="55"/>
    </row>
    <row r="69" spans="10:35">
      <c r="L69" s="55"/>
      <c r="P69" s="55"/>
      <c r="U69" s="55"/>
      <c r="V69" s="55"/>
      <c r="X69" s="55"/>
      <c r="AA69" s="55"/>
      <c r="AB69" s="55"/>
      <c r="AF69" s="55"/>
      <c r="AI69" s="55"/>
    </row>
    <row r="70" spans="10:35">
      <c r="J70" s="55"/>
      <c r="K70" s="55"/>
      <c r="L70" s="55"/>
      <c r="AC70" s="55"/>
      <c r="AF70" s="55"/>
    </row>
    <row r="71" spans="10:35">
      <c r="U71" s="55"/>
      <c r="V71" s="55"/>
      <c r="Z71" s="55"/>
      <c r="AC71" s="55"/>
      <c r="AE71" s="55"/>
      <c r="AF71" s="55"/>
    </row>
  </sheetData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I72"/>
  <sheetViews>
    <sheetView zoomScale="50" zoomScaleNormal="50" workbookViewId="0">
      <selection activeCell="B51" sqref="B51"/>
    </sheetView>
  </sheetViews>
  <sheetFormatPr defaultRowHeight="14.5"/>
  <cols>
    <col min="1" max="1" width="14.6328125" bestFit="1" customWidth="1"/>
  </cols>
  <sheetData>
    <row r="1" spans="1:35">
      <c r="A1">
        <v>17.552985092318895</v>
      </c>
      <c r="B1">
        <v>-0.25564264257796793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5.8077506767101411E-2</v>
      </c>
      <c r="U1">
        <v>-4.2259267572515476E-2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</row>
    <row r="2" spans="1:35">
      <c r="A2">
        <v>-4.4457709022972942</v>
      </c>
      <c r="B2">
        <v>32.075156880879263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-0.89682849275444987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-2.1872382847185973E-2</v>
      </c>
      <c r="U2">
        <v>2.9083547314498148E-2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-5.0193764857599903E-3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</row>
    <row r="3" spans="1:35">
      <c r="A3">
        <v>0</v>
      </c>
      <c r="B3">
        <v>0</v>
      </c>
      <c r="C3">
        <v>39.360512520621278</v>
      </c>
      <c r="D3">
        <v>-0.46998935050896107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0.2871828009113751</v>
      </c>
      <c r="W3">
        <v>-0.12683235026040224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</row>
    <row r="4" spans="1:35">
      <c r="A4">
        <v>0</v>
      </c>
      <c r="B4">
        <v>0</v>
      </c>
      <c r="C4">
        <v>-18.289699214475718</v>
      </c>
      <c r="D4">
        <v>118.69699050765728</v>
      </c>
      <c r="E4">
        <v>-0.91833208813297862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-3.8681302568961823E-3</v>
      </c>
      <c r="W4">
        <v>0.29097233564868213</v>
      </c>
      <c r="X4">
        <v>-0.2651092845333532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</row>
    <row r="5" spans="1:35">
      <c r="A5">
        <v>0</v>
      </c>
      <c r="B5">
        <v>0</v>
      </c>
      <c r="C5">
        <v>0</v>
      </c>
      <c r="D5">
        <v>-108.87062958484471</v>
      </c>
      <c r="E5">
        <v>30.87147986098833</v>
      </c>
      <c r="F5">
        <v>-0.43088362946270797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-1.3641256534535056E-2</v>
      </c>
      <c r="W5">
        <v>-7.9414260041981918E-3</v>
      </c>
      <c r="X5">
        <v>0.27773275470873987</v>
      </c>
      <c r="Y5">
        <v>-0.120412414505866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</row>
    <row r="6" spans="1:35">
      <c r="A6">
        <v>0</v>
      </c>
      <c r="B6">
        <v>0</v>
      </c>
      <c r="C6">
        <v>0</v>
      </c>
      <c r="D6">
        <v>0</v>
      </c>
      <c r="E6">
        <v>-13.219954120824706</v>
      </c>
      <c r="F6">
        <v>41.543091220580678</v>
      </c>
      <c r="G6">
        <v>-0.8188942592652807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-4.3409573105530922E-3</v>
      </c>
      <c r="W6">
        <v>-2.5271419228767955E-3</v>
      </c>
      <c r="X6">
        <v>-7.8890932832217202E-3</v>
      </c>
      <c r="Y6">
        <v>0.29037269356775391</v>
      </c>
      <c r="Z6">
        <v>-0.23636869592528673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</row>
    <row r="7" spans="1:35">
      <c r="A7">
        <v>0</v>
      </c>
      <c r="B7">
        <v>0</v>
      </c>
      <c r="C7">
        <v>0</v>
      </c>
      <c r="D7">
        <v>0</v>
      </c>
      <c r="E7">
        <v>0</v>
      </c>
      <c r="F7">
        <v>-33.977242295515296</v>
      </c>
      <c r="G7">
        <v>26.572091035934022</v>
      </c>
      <c r="H7">
        <v>-0.28445290048015792</v>
      </c>
      <c r="I7">
        <v>-0.23565339002470978</v>
      </c>
      <c r="J7">
        <v>0</v>
      </c>
      <c r="K7">
        <v>0</v>
      </c>
      <c r="L7">
        <v>0</v>
      </c>
      <c r="M7">
        <v>-0.24831714197054985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-5.5507019803481706E-3</v>
      </c>
      <c r="W7">
        <v>-3.2314097265669366E-3</v>
      </c>
      <c r="X7">
        <v>-1.0087637951166781E-2</v>
      </c>
      <c r="Y7">
        <v>-3.6999030828191873E-3</v>
      </c>
      <c r="Z7">
        <v>0.25943348917288728</v>
      </c>
      <c r="AA7">
        <v>-9.7628431267082288E-2</v>
      </c>
      <c r="AB7">
        <v>-7.3767422360735857E-2</v>
      </c>
      <c r="AC7">
        <v>0</v>
      </c>
      <c r="AD7">
        <v>0</v>
      </c>
      <c r="AE7">
        <v>0</v>
      </c>
      <c r="AF7">
        <v>-7.9262697589685849E-2</v>
      </c>
      <c r="AG7">
        <v>0</v>
      </c>
      <c r="AH7">
        <v>0</v>
      </c>
      <c r="AI7">
        <v>0</v>
      </c>
    </row>
    <row r="8" spans="1:3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-7.7704313020760098</v>
      </c>
      <c r="H8">
        <v>49.089611716141022</v>
      </c>
      <c r="I8">
        <v>-3.7301751109313483E-2</v>
      </c>
      <c r="J8">
        <v>0</v>
      </c>
      <c r="K8">
        <v>0</v>
      </c>
      <c r="L8">
        <v>0</v>
      </c>
      <c r="M8">
        <v>-3.9306305862989117E-2</v>
      </c>
      <c r="N8">
        <v>0</v>
      </c>
      <c r="O8">
        <v>0</v>
      </c>
      <c r="P8">
        <v>0</v>
      </c>
      <c r="Q8">
        <v>-0.15955111470611583</v>
      </c>
      <c r="R8">
        <v>0</v>
      </c>
      <c r="S8">
        <v>0</v>
      </c>
      <c r="T8">
        <v>0</v>
      </c>
      <c r="U8">
        <v>0</v>
      </c>
      <c r="V8">
        <v>-8.7862476211867887E-4</v>
      </c>
      <c r="W8">
        <v>-5.1150225905927126E-4</v>
      </c>
      <c r="X8">
        <v>-1.5967797454381292E-3</v>
      </c>
      <c r="Y8">
        <v>-5.8566042232378434E-4</v>
      </c>
      <c r="Z8">
        <v>3.0575170954786944E-3</v>
      </c>
      <c r="AA8">
        <v>0.27965013654761056</v>
      </c>
      <c r="AB8">
        <v>-1.1676700380110153E-2</v>
      </c>
      <c r="AC8">
        <v>0</v>
      </c>
      <c r="AD8">
        <v>0</v>
      </c>
      <c r="AE8">
        <v>0</v>
      </c>
      <c r="AF8">
        <v>-1.2546551600353471E-2</v>
      </c>
      <c r="AG8">
        <v>0</v>
      </c>
      <c r="AH8">
        <v>0</v>
      </c>
      <c r="AI8">
        <v>0</v>
      </c>
    </row>
    <row r="9" spans="1:35">
      <c r="A9">
        <v>0</v>
      </c>
      <c r="B9">
        <v>-28.763874555827318</v>
      </c>
      <c r="C9">
        <v>0</v>
      </c>
      <c r="D9">
        <v>0</v>
      </c>
      <c r="E9">
        <v>0</v>
      </c>
      <c r="F9">
        <v>0</v>
      </c>
      <c r="G9">
        <v>-6.3359789985236414</v>
      </c>
      <c r="H9">
        <v>-1.8022876035114159</v>
      </c>
      <c r="I9">
        <v>244.90111863302104</v>
      </c>
      <c r="J9">
        <v>-0.62113798710221069</v>
      </c>
      <c r="K9">
        <v>-0.24214229412052587</v>
      </c>
      <c r="L9">
        <v>-0.10510178285214274</v>
      </c>
      <c r="M9">
        <v>-6.7136216995369001E-3</v>
      </c>
      <c r="N9">
        <v>0</v>
      </c>
      <c r="O9">
        <v>0</v>
      </c>
      <c r="P9">
        <v>0</v>
      </c>
      <c r="Q9">
        <v>-1.1741759195153304E-3</v>
      </c>
      <c r="R9">
        <v>0</v>
      </c>
      <c r="S9">
        <v>0</v>
      </c>
      <c r="T9">
        <v>-2.5689326368338512E-3</v>
      </c>
      <c r="U9">
        <v>1.8702547986854316E-3</v>
      </c>
      <c r="V9">
        <v>-1.5007144882227884E-4</v>
      </c>
      <c r="W9">
        <v>-8.7365947788442755E-5</v>
      </c>
      <c r="X9">
        <v>-2.7273423215404643E-4</v>
      </c>
      <c r="Y9">
        <v>-1.0003235952975141E-4</v>
      </c>
      <c r="Z9">
        <v>-2.2841506444727186E-4</v>
      </c>
      <c r="AA9">
        <v>-4.6778763766562093E-4</v>
      </c>
      <c r="AB9">
        <v>0.28606760084698812</v>
      </c>
      <c r="AC9">
        <v>-0.18103648796622535</v>
      </c>
      <c r="AD9">
        <v>-7.2436228312679374E-2</v>
      </c>
      <c r="AE9">
        <v>-2.9749485385502188E-2</v>
      </c>
      <c r="AF9">
        <v>-2.1429844201616061E-3</v>
      </c>
      <c r="AG9">
        <v>0</v>
      </c>
      <c r="AH9">
        <v>0</v>
      </c>
      <c r="AI9">
        <v>0</v>
      </c>
    </row>
    <row r="10" spans="1:3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-152.15866823384431</v>
      </c>
      <c r="J10">
        <v>130.40139091061076</v>
      </c>
      <c r="K10">
        <v>-0.84046880033116711</v>
      </c>
      <c r="L10">
        <v>-0.12263785835495604</v>
      </c>
      <c r="M10">
        <v>-7.8337794535307433E-3</v>
      </c>
      <c r="N10">
        <v>0</v>
      </c>
      <c r="O10">
        <v>0</v>
      </c>
      <c r="P10">
        <v>0</v>
      </c>
      <c r="Q10">
        <v>-1.370085418093225E-3</v>
      </c>
      <c r="R10">
        <v>0</v>
      </c>
      <c r="S10">
        <v>0</v>
      </c>
      <c r="T10">
        <v>-2.9975552106729138E-3</v>
      </c>
      <c r="U10">
        <v>2.1823040186818741E-3</v>
      </c>
      <c r="V10">
        <v>-1.7511064593148765E-4</v>
      </c>
      <c r="W10">
        <v>-1.0194282569876588E-4</v>
      </c>
      <c r="X10">
        <v>-3.182395314693155E-4</v>
      </c>
      <c r="Y10">
        <v>-1.1672260932224123E-4</v>
      </c>
      <c r="Z10">
        <v>-2.6652577681988943E-4</v>
      </c>
      <c r="AA10">
        <v>-5.4583730638463031E-4</v>
      </c>
      <c r="AB10">
        <v>-5.1110932258478384E-3</v>
      </c>
      <c r="AC10">
        <v>0.28600130265549434</v>
      </c>
      <c r="AD10">
        <v>-0.2511406297913506</v>
      </c>
      <c r="AE10">
        <v>-3.47131425921922E-2</v>
      </c>
      <c r="AF10">
        <v>-2.5005381701886007E-3</v>
      </c>
      <c r="AG10">
        <v>0</v>
      </c>
      <c r="AH10">
        <v>0</v>
      </c>
      <c r="AI10">
        <v>0</v>
      </c>
    </row>
    <row r="11" spans="1:3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-59.561600111210836</v>
      </c>
      <c r="J11">
        <v>-110.05021901087594</v>
      </c>
      <c r="K11">
        <v>195.72833504547344</v>
      </c>
      <c r="L11">
        <v>-0.10093762626454854</v>
      </c>
      <c r="M11">
        <v>-6.4476264778757092E-3</v>
      </c>
      <c r="N11">
        <v>0</v>
      </c>
      <c r="O11">
        <v>0</v>
      </c>
      <c r="P11">
        <v>0</v>
      </c>
      <c r="Q11">
        <v>-1.1276548020084777E-3</v>
      </c>
      <c r="R11">
        <v>0</v>
      </c>
      <c r="S11">
        <v>-0.86869714763689854</v>
      </c>
      <c r="T11">
        <v>-2.4671509403443961E-3</v>
      </c>
      <c r="U11">
        <v>1.7961548773607686E-3</v>
      </c>
      <c r="V11">
        <v>-1.4412558382109004E-4</v>
      </c>
      <c r="W11">
        <v>-8.3904489027781609E-5</v>
      </c>
      <c r="X11">
        <v>-2.6192843972439338E-4</v>
      </c>
      <c r="Y11">
        <v>-9.6069054649429734E-5</v>
      </c>
      <c r="Z11">
        <v>-2.19365207541781E-4</v>
      </c>
      <c r="AA11">
        <v>-4.4925378486009065E-4</v>
      </c>
      <c r="AB11">
        <v>-1.8780662593817781E-3</v>
      </c>
      <c r="AC11">
        <v>-2.3139083810247333E-5</v>
      </c>
      <c r="AD11">
        <v>0.220992782190083</v>
      </c>
      <c r="AE11">
        <v>-2.8570803995103197E-2</v>
      </c>
      <c r="AF11">
        <v>-2.0580788890833977E-3</v>
      </c>
      <c r="AG11">
        <v>0</v>
      </c>
      <c r="AH11">
        <v>0</v>
      </c>
      <c r="AI11">
        <v>0</v>
      </c>
    </row>
    <row r="12" spans="1:3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-25.630459805582735</v>
      </c>
      <c r="J12">
        <v>-15.920052212143778</v>
      </c>
      <c r="K12">
        <v>-19.586525520637757</v>
      </c>
      <c r="L12">
        <v>32.449474982516342</v>
      </c>
      <c r="M12">
        <v>-0.42728933814508946</v>
      </c>
      <c r="N12">
        <v>0</v>
      </c>
      <c r="O12">
        <v>0</v>
      </c>
      <c r="P12">
        <v>0</v>
      </c>
      <c r="Q12">
        <v>-2.2802630766395422E-3</v>
      </c>
      <c r="R12">
        <v>0</v>
      </c>
      <c r="S12">
        <v>-0.52434619854598041</v>
      </c>
      <c r="T12">
        <v>-4.9888965876292686E-3</v>
      </c>
      <c r="U12">
        <v>3.6320562280911517E-3</v>
      </c>
      <c r="V12">
        <v>-2.9144047149978644E-4</v>
      </c>
      <c r="W12">
        <v>-1.6966567069424816E-4</v>
      </c>
      <c r="X12">
        <v>-5.2965300086652749E-4</v>
      </c>
      <c r="Y12">
        <v>-1.9426398728989233E-4</v>
      </c>
      <c r="Z12">
        <v>-4.4358466985283386E-4</v>
      </c>
      <c r="AA12">
        <v>-9.0844894717109336E-4</v>
      </c>
      <c r="AB12">
        <v>-1.3766387606259358E-2</v>
      </c>
      <c r="AC12">
        <v>-2.6917529928675698E-3</v>
      </c>
      <c r="AD12">
        <v>-4.7035121821991259E-2</v>
      </c>
      <c r="AE12">
        <v>0.27753047732141772</v>
      </c>
      <c r="AF12">
        <v>-0.13050980858600778</v>
      </c>
      <c r="AG12">
        <v>0</v>
      </c>
      <c r="AH12">
        <v>0</v>
      </c>
      <c r="AI12">
        <v>0</v>
      </c>
    </row>
    <row r="13" spans="1:3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-6.6982943086367692</v>
      </c>
      <c r="H13">
        <v>-1.905349244361463</v>
      </c>
      <c r="I13">
        <v>-1.6495486245029642</v>
      </c>
      <c r="J13">
        <v>-1.0245973122509915</v>
      </c>
      <c r="K13">
        <v>-1.2605675620506347</v>
      </c>
      <c r="L13">
        <v>-13.969827184198838</v>
      </c>
      <c r="M13">
        <v>27.953969688670849</v>
      </c>
      <c r="N13">
        <v>-0.21310860837071069</v>
      </c>
      <c r="O13">
        <v>0</v>
      </c>
      <c r="P13">
        <v>0</v>
      </c>
      <c r="Q13">
        <v>-1.2184945892319261E-2</v>
      </c>
      <c r="R13">
        <v>-0.33946736995467813</v>
      </c>
      <c r="S13">
        <v>-0.30121221843309159</v>
      </c>
      <c r="T13">
        <v>-2.8658863416196156E-3</v>
      </c>
      <c r="U13">
        <v>2.0864453999491083E-3</v>
      </c>
      <c r="V13">
        <v>-1.5573581892534731E-3</v>
      </c>
      <c r="W13">
        <v>-9.0663530816811758E-4</v>
      </c>
      <c r="X13">
        <v>-2.8302844629551323E-3</v>
      </c>
      <c r="Y13">
        <v>-1.0380802979285879E-3</v>
      </c>
      <c r="Z13">
        <v>-9.3199585565368454E-4</v>
      </c>
      <c r="AA13">
        <v>-4.8544404286576066E-3</v>
      </c>
      <c r="AB13">
        <v>-8.7429435044641991E-3</v>
      </c>
      <c r="AC13">
        <v>-1.5462854364232733E-3</v>
      </c>
      <c r="AD13">
        <v>-2.7019464292026018E-2</v>
      </c>
      <c r="AE13">
        <v>1.6854567212796549E-4</v>
      </c>
      <c r="AF13">
        <v>0.25581156962983775</v>
      </c>
      <c r="AG13">
        <v>-7.3283586475111004E-2</v>
      </c>
      <c r="AH13">
        <v>0</v>
      </c>
      <c r="AI13">
        <v>0</v>
      </c>
    </row>
    <row r="14" spans="1:3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-6.1263815618573032</v>
      </c>
      <c r="N14">
        <v>21.855175521107959</v>
      </c>
      <c r="O14">
        <v>0</v>
      </c>
      <c r="P14">
        <v>0</v>
      </c>
      <c r="Q14">
        <v>-0.78283645993000128</v>
      </c>
      <c r="R14">
        <v>-9.5158541926782025E-2</v>
      </c>
      <c r="S14">
        <v>-8.4434965046717519E-2</v>
      </c>
      <c r="T14">
        <v>-8.0335722880467669E-4</v>
      </c>
      <c r="U14">
        <v>5.8486652810108366E-4</v>
      </c>
      <c r="V14">
        <v>-4.3655428375009771E-4</v>
      </c>
      <c r="W14">
        <v>-2.5414546910984434E-4</v>
      </c>
      <c r="X14">
        <v>-7.933774099371997E-4</v>
      </c>
      <c r="Y14">
        <v>-2.9099176031850189E-4</v>
      </c>
      <c r="Z14">
        <v>-2.612544667184029E-4</v>
      </c>
      <c r="AA14">
        <v>-1.3607831383710127E-3</v>
      </c>
      <c r="AB14">
        <v>-2.4507974246364764E-3</v>
      </c>
      <c r="AC14">
        <v>-4.3345040070361194E-4</v>
      </c>
      <c r="AD14">
        <v>-7.5740205193071024E-3</v>
      </c>
      <c r="AE14">
        <v>4.7246250530376306E-5</v>
      </c>
      <c r="AF14">
        <v>4.5754085072091518E-3</v>
      </c>
      <c r="AG14">
        <v>0.28607533482005554</v>
      </c>
      <c r="AH14">
        <v>0</v>
      </c>
      <c r="AI14">
        <v>0</v>
      </c>
    </row>
    <row r="15" spans="1:3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20.057942686614265</v>
      </c>
      <c r="P15">
        <v>0</v>
      </c>
      <c r="Q15">
        <v>-0.99999999999999978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0.28086170516787701</v>
      </c>
      <c r="AI15">
        <v>0</v>
      </c>
    </row>
    <row r="16" spans="1:3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10.674655794356985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0.34479255959791155</v>
      </c>
    </row>
    <row r="17" spans="1:3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-8.0419423248847561</v>
      </c>
      <c r="I17">
        <v>-0.29997853103830502</v>
      </c>
      <c r="J17">
        <v>-0.1863280609430108</v>
      </c>
      <c r="K17">
        <v>-0.22924041154132543</v>
      </c>
      <c r="L17">
        <v>-7.7518135759864867E-2</v>
      </c>
      <c r="M17">
        <v>-0.35417336953557038</v>
      </c>
      <c r="N17">
        <v>-17.298505858084756</v>
      </c>
      <c r="O17">
        <v>-20.142464363577371</v>
      </c>
      <c r="P17">
        <v>0</v>
      </c>
      <c r="Q17">
        <v>10.434610476641984</v>
      </c>
      <c r="R17">
        <v>-0.16927617002909928</v>
      </c>
      <c r="S17">
        <v>-0.17318010282356155</v>
      </c>
      <c r="T17">
        <v>-1.6477236345330138E-3</v>
      </c>
      <c r="U17">
        <v>1.1995888838061733E-3</v>
      </c>
      <c r="V17">
        <v>-1.4665079160140482E-3</v>
      </c>
      <c r="W17">
        <v>-8.5374569931386489E-4</v>
      </c>
      <c r="X17">
        <v>-2.6651765779617453E-3</v>
      </c>
      <c r="Y17">
        <v>-9.7752269508419461E-4</v>
      </c>
      <c r="Z17">
        <v>1.8722425790164447E-3</v>
      </c>
      <c r="AA17">
        <v>2.6276584315332415E-2</v>
      </c>
      <c r="AB17">
        <v>-5.3697143070981874E-3</v>
      </c>
      <c r="AC17">
        <v>-8.8902725217251336E-4</v>
      </c>
      <c r="AD17">
        <v>-1.5534673954038208E-2</v>
      </c>
      <c r="AE17">
        <v>4.3011362068856036E-5</v>
      </c>
      <c r="AF17">
        <v>5.4772806872217241E-3</v>
      </c>
      <c r="AG17">
        <v>2.5229129680030476E-2</v>
      </c>
      <c r="AH17">
        <v>-4.3824493228459887E-3</v>
      </c>
      <c r="AI17">
        <v>0</v>
      </c>
    </row>
    <row r="18" spans="1:3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-9.883178325617596</v>
      </c>
      <c r="N18">
        <v>-2.1061903792519363</v>
      </c>
      <c r="O18">
        <v>0</v>
      </c>
      <c r="P18">
        <v>0</v>
      </c>
      <c r="Q18">
        <v>-1.7692286135740056</v>
      </c>
      <c r="R18">
        <v>6.0282515235055838</v>
      </c>
      <c r="S18">
        <v>-0.57415742515126011</v>
      </c>
      <c r="T18">
        <v>-5.4628259478988975E-3</v>
      </c>
      <c r="U18">
        <v>3.9770900555933858E-3</v>
      </c>
      <c r="V18">
        <v>-3.1361834898619746E-3</v>
      </c>
      <c r="W18">
        <v>-1.825767960398217E-3</v>
      </c>
      <c r="X18">
        <v>-5.6995824503209775E-3</v>
      </c>
      <c r="Y18">
        <v>-2.0904698186839273E-3</v>
      </c>
      <c r="Z18">
        <v>-1.0697808007856852E-3</v>
      </c>
      <c r="AA18">
        <v>-7.2227974017711365E-4</v>
      </c>
      <c r="AB18">
        <v>-1.6766083416961574E-2</v>
      </c>
      <c r="AC18">
        <v>-2.9474609939267424E-3</v>
      </c>
      <c r="AD18">
        <v>-5.1503309286645281E-2</v>
      </c>
      <c r="AE18">
        <v>3.0545730503706145E-4</v>
      </c>
      <c r="AF18">
        <v>6.7331069136272764E-2</v>
      </c>
      <c r="AG18">
        <v>-1.2791360332082188E-2</v>
      </c>
      <c r="AH18">
        <v>-1.2862029245601643E-3</v>
      </c>
      <c r="AI18">
        <v>0</v>
      </c>
    </row>
    <row r="19" spans="1:3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-170.62793186337868</v>
      </c>
      <c r="L19">
        <v>-17.222778416718569</v>
      </c>
      <c r="M19">
        <v>-8.4592547620467027</v>
      </c>
      <c r="N19">
        <v>-1.8027400101930802</v>
      </c>
      <c r="O19">
        <v>0</v>
      </c>
      <c r="P19">
        <v>0</v>
      </c>
      <c r="Q19">
        <v>-1.7460080417419106</v>
      </c>
      <c r="R19">
        <v>-3.3387446308377049</v>
      </c>
      <c r="S19">
        <v>8.4536516996776534</v>
      </c>
      <c r="T19">
        <v>-6.5497724428416559E-2</v>
      </c>
      <c r="U19">
        <v>4.7684174998919887E-2</v>
      </c>
      <c r="V19">
        <v>-6.6957808204692612E-3</v>
      </c>
      <c r="W19">
        <v>-3.8980315186850538E-3</v>
      </c>
      <c r="X19">
        <v>-1.2168661361463256E-2</v>
      </c>
      <c r="Y19">
        <v>-4.463172439674353E-3</v>
      </c>
      <c r="Z19">
        <v>-6.3555174305910313E-3</v>
      </c>
      <c r="AA19">
        <v>-1.0924477255001393E-2</v>
      </c>
      <c r="AB19">
        <v>-8.2955414109151498E-2</v>
      </c>
      <c r="AC19">
        <v>-8.9384482789090329E-3</v>
      </c>
      <c r="AD19">
        <v>9.5418530523406889E-2</v>
      </c>
      <c r="AE19">
        <v>-1.0945021186772246E-2</v>
      </c>
      <c r="AF19">
        <v>-2.2749828538316703E-2</v>
      </c>
      <c r="AG19">
        <v>-1.2167747363691082E-2</v>
      </c>
      <c r="AH19">
        <v>-1.4131283489257082E-3</v>
      </c>
      <c r="AI19">
        <v>0</v>
      </c>
    </row>
    <row r="20" spans="1:35">
      <c r="A20">
        <v>-1.0194884705578333</v>
      </c>
      <c r="B20">
        <v>0.48115156702150413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0.43151043463833721</v>
      </c>
      <c r="J20">
        <v>0.26802752278485681</v>
      </c>
      <c r="K20">
        <v>0.32975569711099539</v>
      </c>
      <c r="L20">
        <v>0.11150759468790659</v>
      </c>
      <c r="M20">
        <v>5.4768814214807011E-2</v>
      </c>
      <c r="N20">
        <v>1.167170577943152E-2</v>
      </c>
      <c r="O20">
        <v>0</v>
      </c>
      <c r="P20">
        <v>0</v>
      </c>
      <c r="Q20">
        <v>1.1304398879764317E-2</v>
      </c>
      <c r="R20">
        <v>2.1616453167653767E-2</v>
      </c>
      <c r="S20">
        <v>0.3767778970330613</v>
      </c>
      <c r="T20">
        <v>17.65119554556674</v>
      </c>
      <c r="U20">
        <v>-0.25861954403349596</v>
      </c>
      <c r="V20">
        <v>1.6368858894713276E-4</v>
      </c>
      <c r="W20">
        <v>9.5293334126831235E-5</v>
      </c>
      <c r="X20">
        <v>2.9748151276759075E-4</v>
      </c>
      <c r="Y20">
        <v>1.0910906710755E-4</v>
      </c>
      <c r="Z20">
        <v>1.5537033068078288E-4</v>
      </c>
      <c r="AA20">
        <v>2.6706553198240754E-4</v>
      </c>
      <c r="AB20">
        <v>-4.8334099218128295E-3</v>
      </c>
      <c r="AC20">
        <v>3.0037708880848606E-4</v>
      </c>
      <c r="AD20">
        <v>-1.220146754904086E-4</v>
      </c>
      <c r="AE20">
        <v>2.6756775977228938E-4</v>
      </c>
      <c r="AF20">
        <v>5.5615430553554055E-4</v>
      </c>
      <c r="AG20">
        <v>2.9745916869605682E-4</v>
      </c>
      <c r="AH20">
        <v>3.4546080828946479E-5</v>
      </c>
      <c r="AI20">
        <v>0</v>
      </c>
    </row>
    <row r="21" spans="1:35">
      <c r="A21">
        <v>0.95975940084529643</v>
      </c>
      <c r="B21">
        <v>-0.8754012595991062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-0.62408750397666513</v>
      </c>
      <c r="J21">
        <v>-0.38764445599570868</v>
      </c>
      <c r="K21">
        <v>-0.47692105083060365</v>
      </c>
      <c r="L21">
        <v>-0.16127187399661216</v>
      </c>
      <c r="M21">
        <v>-7.9211369680384225E-2</v>
      </c>
      <c r="N21">
        <v>-1.6880624759724589E-2</v>
      </c>
      <c r="O21">
        <v>0</v>
      </c>
      <c r="P21">
        <v>0</v>
      </c>
      <c r="Q21">
        <v>-1.6349393930048733E-2</v>
      </c>
      <c r="R21">
        <v>-3.1263573761631948E-2</v>
      </c>
      <c r="S21">
        <v>-0.54492860064906778</v>
      </c>
      <c r="T21">
        <v>-4.5615347582442194</v>
      </c>
      <c r="U21">
        <v>32.127900235976021</v>
      </c>
      <c r="V21">
        <v>-1.0682559165718629E-4</v>
      </c>
      <c r="W21">
        <v>-6.2189837816810134E-5</v>
      </c>
      <c r="X21">
        <v>-1.9414083054217291E-4</v>
      </c>
      <c r="Y21">
        <v>-7.1206189288443002E-5</v>
      </c>
      <c r="Z21">
        <v>-1.0139697340972186E-4</v>
      </c>
      <c r="AA21">
        <v>-1.7429091208353057E-4</v>
      </c>
      <c r="AB21">
        <v>-0.89222988949155346</v>
      </c>
      <c r="AC21">
        <v>-1.960305262487985E-4</v>
      </c>
      <c r="AD21">
        <v>7.9628580000357303E-5</v>
      </c>
      <c r="AE21">
        <v>-1.7461867335965807E-4</v>
      </c>
      <c r="AF21">
        <v>-3.6295451701104272E-4</v>
      </c>
      <c r="AG21">
        <v>-1.9412624847095467E-4</v>
      </c>
      <c r="AH21">
        <v>-2.2545282769717657E-5</v>
      </c>
      <c r="AI21">
        <v>0</v>
      </c>
    </row>
    <row r="22" spans="1:35">
      <c r="A22">
        <v>0</v>
      </c>
      <c r="B22">
        <v>0</v>
      </c>
      <c r="C22">
        <v>-11.573682896107648</v>
      </c>
      <c r="D22">
        <v>-0.4473213968939192</v>
      </c>
      <c r="E22">
        <v>-0.41078959247615371</v>
      </c>
      <c r="F22">
        <v>-0.17700251055163183</v>
      </c>
      <c r="G22">
        <v>-0.14494633976627358</v>
      </c>
      <c r="H22">
        <v>-4.1230406760498974E-2</v>
      </c>
      <c r="I22">
        <v>-3.5695062708711658E-2</v>
      </c>
      <c r="J22">
        <v>-2.2171559400376344E-2</v>
      </c>
      <c r="K22">
        <v>-2.727778830376899E-2</v>
      </c>
      <c r="L22">
        <v>-9.2240424920857871E-3</v>
      </c>
      <c r="M22">
        <v>-4.2143818064478679E-2</v>
      </c>
      <c r="N22">
        <v>-8.9812104191494685E-3</v>
      </c>
      <c r="O22">
        <v>0</v>
      </c>
      <c r="P22">
        <v>0</v>
      </c>
      <c r="Q22">
        <v>-1.4246778857438993E-2</v>
      </c>
      <c r="R22">
        <v>-1.7572730126659736E-2</v>
      </c>
      <c r="S22">
        <v>-5.4542061739376133E-2</v>
      </c>
      <c r="T22">
        <v>-4.0913218629550357E-3</v>
      </c>
      <c r="U22">
        <v>1.9205009335545274E-3</v>
      </c>
      <c r="V22">
        <v>42.572856761689302</v>
      </c>
      <c r="W22">
        <v>-0.46605484292426119</v>
      </c>
      <c r="X22">
        <v>-1.9681998634151556E-4</v>
      </c>
      <c r="Y22">
        <v>2.3997736537933133E-5</v>
      </c>
      <c r="Z22">
        <v>-1.0597258509337203E-4</v>
      </c>
      <c r="AA22">
        <v>-7.3281126327257999E-5</v>
      </c>
      <c r="AB22">
        <v>-1.1383988980833399E-4</v>
      </c>
      <c r="AC22">
        <v>-1.7990569102777665E-5</v>
      </c>
      <c r="AD22">
        <v>7.3078591302372782E-6</v>
      </c>
      <c r="AE22">
        <v>-1.486805693167212E-5</v>
      </c>
      <c r="AF22">
        <v>-5.9960664897487839E-5</v>
      </c>
      <c r="AG22">
        <v>-2.4582725619747983E-5</v>
      </c>
      <c r="AH22">
        <v>-3.803554467221951E-6</v>
      </c>
      <c r="AI22">
        <v>0</v>
      </c>
    </row>
    <row r="23" spans="1:35">
      <c r="A23">
        <v>0</v>
      </c>
      <c r="B23">
        <v>0</v>
      </c>
      <c r="C23">
        <v>5.7116224686249017</v>
      </c>
      <c r="D23">
        <v>-34.494894963990731</v>
      </c>
      <c r="E23">
        <v>-0.21009469246214132</v>
      </c>
      <c r="F23">
        <v>-9.0526363618938885E-2</v>
      </c>
      <c r="G23">
        <v>-7.4131519479710417E-2</v>
      </c>
      <c r="H23">
        <v>-2.1086925733004955E-2</v>
      </c>
      <c r="I23">
        <v>-1.8255923128429701E-2</v>
      </c>
      <c r="J23">
        <v>-1.1339447344685517E-2</v>
      </c>
      <c r="K23">
        <v>-1.3950982813812211E-2</v>
      </c>
      <c r="L23">
        <v>-4.7175546949743703E-3</v>
      </c>
      <c r="M23">
        <v>-2.1554081840452335E-2</v>
      </c>
      <c r="N23">
        <v>-4.593360385727204E-3</v>
      </c>
      <c r="O23">
        <v>0</v>
      </c>
      <c r="P23">
        <v>0</v>
      </c>
      <c r="Q23">
        <v>-7.2863886462837674E-3</v>
      </c>
      <c r="R23">
        <v>-8.9874169144027148E-3</v>
      </c>
      <c r="S23">
        <v>-2.7895053568209725E-2</v>
      </c>
      <c r="T23">
        <v>-2.0924702677589642E-3</v>
      </c>
      <c r="U23">
        <v>9.8222316338702283E-4</v>
      </c>
      <c r="V23">
        <v>-20.067367522893363</v>
      </c>
      <c r="W23">
        <v>128.56966327171685</v>
      </c>
      <c r="X23">
        <v>-0.91853515726340729</v>
      </c>
      <c r="Y23">
        <v>7.8096677456756775E-6</v>
      </c>
      <c r="Z23">
        <v>-3.4487030825652215E-5</v>
      </c>
      <c r="AA23">
        <v>-2.3848134499690759E-5</v>
      </c>
      <c r="AB23">
        <v>-3.7047315450025875E-5</v>
      </c>
      <c r="AC23">
        <v>-5.8547341340390173E-6</v>
      </c>
      <c r="AD23">
        <v>2.3782222814698468E-6</v>
      </c>
      <c r="AE23">
        <v>-4.8385640235947986E-6</v>
      </c>
      <c r="AF23">
        <v>-1.9513209919568159E-5</v>
      </c>
      <c r="AG23">
        <v>-8.0000427986145513E-6</v>
      </c>
      <c r="AH23">
        <v>-1.2378040985086311E-6</v>
      </c>
      <c r="AI23">
        <v>0</v>
      </c>
    </row>
    <row r="24" spans="1:35">
      <c r="A24">
        <v>0</v>
      </c>
      <c r="B24">
        <v>0</v>
      </c>
      <c r="C24">
        <v>0</v>
      </c>
      <c r="D24">
        <v>31.923504946800911</v>
      </c>
      <c r="E24">
        <v>-9.2702843319669874</v>
      </c>
      <c r="F24">
        <v>-0.27710432967838938</v>
      </c>
      <c r="G24">
        <v>-0.2269191447911868</v>
      </c>
      <c r="H24">
        <v>-6.4547808910330004E-2</v>
      </c>
      <c r="I24">
        <v>-5.5882012034175789E-2</v>
      </c>
      <c r="J24">
        <v>-3.4710440470129465E-2</v>
      </c>
      <c r="K24">
        <v>-4.2704440854922261E-2</v>
      </c>
      <c r="L24">
        <v>-1.4440598066821303E-2</v>
      </c>
      <c r="M24">
        <v>-6.5977789910718829E-2</v>
      </c>
      <c r="N24">
        <v>-1.4060434991248406E-2</v>
      </c>
      <c r="O24">
        <v>0</v>
      </c>
      <c r="P24">
        <v>0</v>
      </c>
      <c r="Q24">
        <v>-2.2303887628844065E-2</v>
      </c>
      <c r="R24">
        <v>-2.7510793983607656E-2</v>
      </c>
      <c r="S24">
        <v>-8.5387723656938891E-2</v>
      </c>
      <c r="T24">
        <v>-6.4051238527601901E-3</v>
      </c>
      <c r="U24">
        <v>3.0066190709996227E-3</v>
      </c>
      <c r="V24">
        <v>-6.3162958572326343E-3</v>
      </c>
      <c r="W24">
        <v>-118.23799512758048</v>
      </c>
      <c r="X24">
        <v>32.847018734892607</v>
      </c>
      <c r="Y24">
        <v>-0.43651789699052723</v>
      </c>
      <c r="Z24">
        <v>-3.3918947438454103E-4</v>
      </c>
      <c r="AA24">
        <v>-2.3455299027903384E-4</v>
      </c>
      <c r="AB24">
        <v>-3.6437058088241263E-4</v>
      </c>
      <c r="AC24">
        <v>-5.7582927438009391E-5</v>
      </c>
      <c r="AD24">
        <v>2.3390473065061467E-5</v>
      </c>
      <c r="AE24">
        <v>-4.7588613709195184E-5</v>
      </c>
      <c r="AF24">
        <v>-1.9191780961469199E-4</v>
      </c>
      <c r="AG24">
        <v>-7.8682630744120714E-5</v>
      </c>
      <c r="AH24">
        <v>-1.2174145222495624E-5</v>
      </c>
      <c r="AI24">
        <v>0</v>
      </c>
    </row>
    <row r="25" spans="1:35">
      <c r="A25">
        <v>0</v>
      </c>
      <c r="B25">
        <v>0</v>
      </c>
      <c r="C25">
        <v>0</v>
      </c>
      <c r="D25">
        <v>0</v>
      </c>
      <c r="E25">
        <v>3.9993515970123532</v>
      </c>
      <c r="F25">
        <v>-12.095582761908076</v>
      </c>
      <c r="G25">
        <v>-8.5516989680729197E-2</v>
      </c>
      <c r="H25">
        <v>-2.4325555755015153E-2</v>
      </c>
      <c r="I25">
        <v>-2.1059754349341261E-2</v>
      </c>
      <c r="J25">
        <v>-1.3081013425416857E-2</v>
      </c>
      <c r="K25">
        <v>-1.6093640892540211E-2</v>
      </c>
      <c r="L25">
        <v>-5.4420991097965639E-3</v>
      </c>
      <c r="M25">
        <v>-2.4864459912116669E-2</v>
      </c>
      <c r="N25">
        <v>-5.2988304497605066E-3</v>
      </c>
      <c r="O25">
        <v>0</v>
      </c>
      <c r="P25">
        <v>0</v>
      </c>
      <c r="Q25">
        <v>-8.4054667575588372E-3</v>
      </c>
      <c r="R25">
        <v>-1.036774701125269E-2</v>
      </c>
      <c r="S25">
        <v>-3.2179308138812451E-2</v>
      </c>
      <c r="T25">
        <v>-2.41384177136895E-3</v>
      </c>
      <c r="U25">
        <v>1.1330776532987548E-3</v>
      </c>
      <c r="V25">
        <v>1.2435363133065517E-3</v>
      </c>
      <c r="W25">
        <v>1.3034961475626103E-3</v>
      </c>
      <c r="X25">
        <v>-14.4263959096495</v>
      </c>
      <c r="Y25">
        <v>44.873303030576899</v>
      </c>
      <c r="Z25">
        <v>-0.82145250036584816</v>
      </c>
      <c r="AA25">
        <v>-1.1642283778789978E-4</v>
      </c>
      <c r="AB25">
        <v>-1.8085916100361849E-4</v>
      </c>
      <c r="AC25">
        <v>-2.8581890226564401E-5</v>
      </c>
      <c r="AD25">
        <v>1.1610106731942656E-5</v>
      </c>
      <c r="AE25">
        <v>-2.3621107741263776E-5</v>
      </c>
      <c r="AF25">
        <v>-9.5260418512675747E-5</v>
      </c>
      <c r="AG25">
        <v>-3.9054949352597595E-5</v>
      </c>
      <c r="AH25">
        <v>-6.0427647192167841E-6</v>
      </c>
      <c r="AI25">
        <v>0</v>
      </c>
    </row>
    <row r="26" spans="1:35">
      <c r="A26">
        <v>0</v>
      </c>
      <c r="B26">
        <v>0</v>
      </c>
      <c r="C26">
        <v>0</v>
      </c>
      <c r="D26">
        <v>0</v>
      </c>
      <c r="E26">
        <v>0</v>
      </c>
      <c r="F26">
        <v>9.9643775268937951</v>
      </c>
      <c r="G26">
        <v>-8.4651278148553395</v>
      </c>
      <c r="H26">
        <v>0.18626140345347561</v>
      </c>
      <c r="I26">
        <v>-2.7733527594563316E-2</v>
      </c>
      <c r="J26">
        <v>-1.7226347505330673E-2</v>
      </c>
      <c r="K26">
        <v>-2.1193667617695533E-2</v>
      </c>
      <c r="L26">
        <v>-7.1666840614697126E-3</v>
      </c>
      <c r="M26">
        <v>7.9404820395429874E-3</v>
      </c>
      <c r="N26">
        <v>1.6921850772396287E-3</v>
      </c>
      <c r="O26">
        <v>0</v>
      </c>
      <c r="P26">
        <v>0</v>
      </c>
      <c r="Q26">
        <v>3.1043266393253631E-2</v>
      </c>
      <c r="R26">
        <v>8.1114456589994246E-3</v>
      </c>
      <c r="S26">
        <v>-9.6007295330718008E-3</v>
      </c>
      <c r="T26">
        <v>-7.2017216413029653E-4</v>
      </c>
      <c r="U26">
        <v>3.3805487807142472E-4</v>
      </c>
      <c r="V26">
        <v>-3.5611934136003639E-3</v>
      </c>
      <c r="W26">
        <v>-3.7329041747163581E-3</v>
      </c>
      <c r="X26">
        <v>-9.901484209825135E-3</v>
      </c>
      <c r="Y26">
        <v>-36.906153487544479</v>
      </c>
      <c r="Z26">
        <v>28.23028152853497</v>
      </c>
      <c r="AA26">
        <v>-0.29904926625366163</v>
      </c>
      <c r="AB26">
        <v>-0.24382232629649872</v>
      </c>
      <c r="AC26">
        <v>-4.2164740083813892E-5</v>
      </c>
      <c r="AD26">
        <v>1.7127528264128452E-5</v>
      </c>
      <c r="AE26">
        <v>-3.6200552950051441E-5</v>
      </c>
      <c r="AF26">
        <v>-0.25768464404687813</v>
      </c>
      <c r="AG26">
        <v>-7.5820264814470403E-5</v>
      </c>
      <c r="AH26">
        <v>-3.1955035772890029E-6</v>
      </c>
      <c r="AI26">
        <v>0</v>
      </c>
    </row>
    <row r="27" spans="1:3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1.8658177780432885</v>
      </c>
      <c r="H27">
        <v>-14.755693713321969</v>
      </c>
      <c r="I27">
        <v>-0.11072692977532532</v>
      </c>
      <c r="J27">
        <v>-6.8776702278653401E-2</v>
      </c>
      <c r="K27">
        <v>-8.4616345251593311E-2</v>
      </c>
      <c r="L27">
        <v>-2.8613198234178509E-2</v>
      </c>
      <c r="M27">
        <v>-0.13073112159432429</v>
      </c>
      <c r="N27">
        <v>-2.7859927393708614E-2</v>
      </c>
      <c r="O27">
        <v>0</v>
      </c>
      <c r="P27">
        <v>0</v>
      </c>
      <c r="Q27">
        <v>0.2915226581948554</v>
      </c>
      <c r="R27">
        <v>2.3177789681055111E-3</v>
      </c>
      <c r="S27">
        <v>-7.842266870923649E-2</v>
      </c>
      <c r="T27">
        <v>-5.8826595256802087E-3</v>
      </c>
      <c r="U27">
        <v>2.7613699164436615E-3</v>
      </c>
      <c r="V27">
        <v>-2.9621257300926165E-3</v>
      </c>
      <c r="W27">
        <v>-3.1049511272454337E-3</v>
      </c>
      <c r="X27">
        <v>-8.2358461722461546E-3</v>
      </c>
      <c r="Y27">
        <v>-5.5694479444126583E-3</v>
      </c>
      <c r="Z27">
        <v>-8.2151939244326933</v>
      </c>
      <c r="AA27">
        <v>52.843022765490069</v>
      </c>
      <c r="AB27">
        <v>-3.8048913356621993E-2</v>
      </c>
      <c r="AC27">
        <v>-2.7408558521777309E-5</v>
      </c>
      <c r="AD27">
        <v>1.1133493526288037E-5</v>
      </c>
      <c r="AE27">
        <v>-2.4642839353397813E-5</v>
      </c>
      <c r="AF27">
        <v>-4.0278834021398764E-2</v>
      </c>
      <c r="AG27">
        <v>-1.9891756626802903E-4</v>
      </c>
      <c r="AH27">
        <v>2.1641606059442569E-5</v>
      </c>
      <c r="AI27">
        <v>0</v>
      </c>
    </row>
    <row r="28" spans="1:35">
      <c r="A28">
        <v>0</v>
      </c>
      <c r="B28">
        <v>0.37852801426585542</v>
      </c>
      <c r="C28">
        <v>0</v>
      </c>
      <c r="D28">
        <v>0</v>
      </c>
      <c r="E28">
        <v>0</v>
      </c>
      <c r="F28">
        <v>0</v>
      </c>
      <c r="G28">
        <v>1.7052147688676003</v>
      </c>
      <c r="H28">
        <v>0.48505328694599098</v>
      </c>
      <c r="I28">
        <v>-70.685769105966131</v>
      </c>
      <c r="J28">
        <v>0.43042207707060715</v>
      </c>
      <c r="K28">
        <v>0.98545537709123832</v>
      </c>
      <c r="L28">
        <v>8.7374626281018757E-3</v>
      </c>
      <c r="M28">
        <v>-1.8598698181318336E-2</v>
      </c>
      <c r="N28">
        <v>-3.9635426869276185E-3</v>
      </c>
      <c r="O28">
        <v>0</v>
      </c>
      <c r="P28">
        <v>0</v>
      </c>
      <c r="Q28">
        <v>-7.215272956394376E-3</v>
      </c>
      <c r="R28">
        <v>-7.9121898709185595E-3</v>
      </c>
      <c r="S28">
        <v>0.84891452951310842</v>
      </c>
      <c r="T28">
        <v>-0.11405222584229276</v>
      </c>
      <c r="U28">
        <v>-28.715318849100104</v>
      </c>
      <c r="V28">
        <v>2.07254358875726E-3</v>
      </c>
      <c r="W28">
        <v>2.1724758293686407E-3</v>
      </c>
      <c r="X28">
        <v>5.7624664641585223E-3</v>
      </c>
      <c r="Y28">
        <v>3.8968378394082666E-3</v>
      </c>
      <c r="Z28">
        <v>-6.7899714436778105</v>
      </c>
      <c r="AA28">
        <v>-2.0276942897409764</v>
      </c>
      <c r="AB28">
        <v>265.05066411822907</v>
      </c>
      <c r="AC28">
        <v>-0.62265663506842484</v>
      </c>
      <c r="AD28">
        <v>-0.24376487985582526</v>
      </c>
      <c r="AE28">
        <v>-0.10487700354894268</v>
      </c>
      <c r="AF28">
        <v>-6.878040039254886E-3</v>
      </c>
      <c r="AG28">
        <v>1.4046894237426728E-5</v>
      </c>
      <c r="AH28">
        <v>2.0247542840842034E-6</v>
      </c>
      <c r="AI28">
        <v>0</v>
      </c>
    </row>
    <row r="29" spans="1:3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44.194158835453024</v>
      </c>
      <c r="J29">
        <v>-38.470775381743273</v>
      </c>
      <c r="K29">
        <v>9.5075981258847836E-2</v>
      </c>
      <c r="L29">
        <v>-6.3491872951631209E-2</v>
      </c>
      <c r="M29">
        <v>-3.1185091953339003E-2</v>
      </c>
      <c r="N29">
        <v>-6.6458115480887226E-3</v>
      </c>
      <c r="O29">
        <v>0</v>
      </c>
      <c r="P29">
        <v>0</v>
      </c>
      <c r="Q29">
        <v>-6.4366688159438806E-3</v>
      </c>
      <c r="R29">
        <v>-1.2308301528939797E-2</v>
      </c>
      <c r="S29">
        <v>3.1164436231285241E-2</v>
      </c>
      <c r="T29">
        <v>3.9727983984418503E-16</v>
      </c>
      <c r="U29">
        <v>-1.8776552350091935E-16</v>
      </c>
      <c r="V29">
        <v>4.1075432175986412E-17</v>
      </c>
      <c r="W29">
        <v>4.2830802539350546E-17</v>
      </c>
      <c r="X29">
        <v>1.1448965761577848E-16</v>
      </c>
      <c r="Y29">
        <v>7.7171106093375232E-17</v>
      </c>
      <c r="Z29">
        <v>1.0364289163644511E-16</v>
      </c>
      <c r="AA29">
        <v>9.6290209565187777E-17</v>
      </c>
      <c r="AB29">
        <v>-164.99645304094494</v>
      </c>
      <c r="AC29">
        <v>140.78036041952998</v>
      </c>
      <c r="AD29">
        <v>-0.84858077026084189</v>
      </c>
      <c r="AE29">
        <v>-0.12291724172015661</v>
      </c>
      <c r="AF29">
        <v>-8.0611543184629011E-3</v>
      </c>
      <c r="AG29">
        <v>1.6463146695391245E-5</v>
      </c>
      <c r="AH29">
        <v>2.3730389250162389E-6</v>
      </c>
      <c r="AI29">
        <v>0</v>
      </c>
    </row>
    <row r="30" spans="1:3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16.843757899586102</v>
      </c>
      <c r="J30">
        <v>31.158509944185148</v>
      </c>
      <c r="K30">
        <v>-45.679873897029012</v>
      </c>
      <c r="L30">
        <v>0.98070387503280931</v>
      </c>
      <c r="M30">
        <v>0.48168905877438423</v>
      </c>
      <c r="N30">
        <v>0.10265208498280649</v>
      </c>
      <c r="O30">
        <v>0</v>
      </c>
      <c r="P30">
        <v>0</v>
      </c>
      <c r="Q30">
        <v>9.9421638654571043E-2</v>
      </c>
      <c r="R30">
        <v>0.19011565486025539</v>
      </c>
      <c r="S30">
        <v>-0.4813700077569289</v>
      </c>
      <c r="T30">
        <v>-4.5664901439194938E-16</v>
      </c>
      <c r="U30">
        <v>2.1558688155365131E-16</v>
      </c>
      <c r="V30">
        <v>-4.3865349115880909E-17</v>
      </c>
      <c r="W30">
        <v>-4.7121424627664036E-17</v>
      </c>
      <c r="X30">
        <v>-1.2345893011422372E-16</v>
      </c>
      <c r="Y30">
        <v>-8.3630196271422114E-17</v>
      </c>
      <c r="Z30">
        <v>-1.1054020011433027E-16</v>
      </c>
      <c r="AA30">
        <v>-1.0923653728327571E-16</v>
      </c>
      <c r="AB30">
        <v>-64.324836481834183</v>
      </c>
      <c r="AC30">
        <v>-118.96985431123392</v>
      </c>
      <c r="AD30">
        <v>204.98731141402166</v>
      </c>
      <c r="AE30">
        <v>-0.10424861078652353</v>
      </c>
      <c r="AF30">
        <v>-6.8368288067249651E-3</v>
      </c>
      <c r="AG30">
        <v>1.396272929778715E-5</v>
      </c>
      <c r="AH30">
        <v>2.0126225402820171E-6</v>
      </c>
      <c r="AI30">
        <v>0</v>
      </c>
    </row>
    <row r="31" spans="1:3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7.6606025316816888</v>
      </c>
      <c r="J31">
        <v>4.758291236518863</v>
      </c>
      <c r="K31">
        <v>5.8541511985502268</v>
      </c>
      <c r="L31">
        <v>-9.780938555156391</v>
      </c>
      <c r="M31">
        <v>4.709018984081606E-2</v>
      </c>
      <c r="N31">
        <v>1.0035324824888888E-2</v>
      </c>
      <c r="O31">
        <v>0</v>
      </c>
      <c r="P31">
        <v>0</v>
      </c>
      <c r="Q31">
        <v>8.2423187038327718E-3</v>
      </c>
      <c r="R31">
        <v>1.8335757916370415E-2</v>
      </c>
      <c r="S31">
        <v>-1.6127011589051159E-2</v>
      </c>
      <c r="T31">
        <v>-1.2097231566657108E-3</v>
      </c>
      <c r="U31">
        <v>5.6785423624456635E-4</v>
      </c>
      <c r="V31">
        <v>1.5621515832782194E-5</v>
      </c>
      <c r="W31">
        <v>1.637474152481826E-5</v>
      </c>
      <c r="X31">
        <v>4.3433808386007232E-5</v>
      </c>
      <c r="Y31">
        <v>2.9371885993772249E-5</v>
      </c>
      <c r="Z31">
        <v>-6.3885168913257827E-5</v>
      </c>
      <c r="AA31">
        <v>-2.3062652513978075E-4</v>
      </c>
      <c r="AB31">
        <v>-27.921316992742813</v>
      </c>
      <c r="AC31">
        <v>-17.385619755130499</v>
      </c>
      <c r="AD31">
        <v>-21.559247092278042</v>
      </c>
      <c r="AE31">
        <v>34.694575069835231</v>
      </c>
      <c r="AF31">
        <v>-0.43729426034415747</v>
      </c>
      <c r="AG31">
        <v>4.0073199009444172E-5</v>
      </c>
      <c r="AH31">
        <v>5.1350063713510201E-6</v>
      </c>
      <c r="AI31">
        <v>0</v>
      </c>
    </row>
    <row r="32" spans="1:3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1.7625172965887086</v>
      </c>
      <c r="H32">
        <v>0.50135315716110496</v>
      </c>
      <c r="I32">
        <v>0.43404452660460813</v>
      </c>
      <c r="J32">
        <v>0.26960154356791821</v>
      </c>
      <c r="K32">
        <v>0.33169222331245651</v>
      </c>
      <c r="L32">
        <v>3.8638480770508812</v>
      </c>
      <c r="M32">
        <v>-8.9421227540715389</v>
      </c>
      <c r="N32">
        <v>0.14292381900208939</v>
      </c>
      <c r="O32">
        <v>0</v>
      </c>
      <c r="P32">
        <v>0</v>
      </c>
      <c r="Q32">
        <v>9.298179587984344E-2</v>
      </c>
      <c r="R32">
        <v>0.48864911515828563</v>
      </c>
      <c r="S32">
        <v>-7.0610610614518371E-2</v>
      </c>
      <c r="T32">
        <v>-5.2966596008823391E-3</v>
      </c>
      <c r="U32">
        <v>2.4862966173157509E-3</v>
      </c>
      <c r="V32">
        <v>-1.156558458227422E-3</v>
      </c>
      <c r="W32">
        <v>-1.2123244641901775E-3</v>
      </c>
      <c r="X32">
        <v>-3.2156763146152473E-3</v>
      </c>
      <c r="Y32">
        <v>-2.1745843069147434E-3</v>
      </c>
      <c r="Z32">
        <v>-7.1653087965204181</v>
      </c>
      <c r="AA32">
        <v>-2.1529781699780881</v>
      </c>
      <c r="AB32">
        <v>-1.8348888843197448</v>
      </c>
      <c r="AC32">
        <v>-1.1438587004815728</v>
      </c>
      <c r="AD32">
        <v>-1.4173883856104879</v>
      </c>
      <c r="AE32">
        <v>-15.064686021000322</v>
      </c>
      <c r="AF32">
        <v>29.400949505373362</v>
      </c>
      <c r="AG32">
        <v>-0.22620649343013266</v>
      </c>
      <c r="AH32">
        <v>3.5601761800672064E-5</v>
      </c>
      <c r="AI32">
        <v>0</v>
      </c>
    </row>
    <row r="33" spans="1:3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1.4672029274841871</v>
      </c>
      <c r="N33">
        <v>-6.4623787719894956</v>
      </c>
      <c r="O33">
        <v>0</v>
      </c>
      <c r="P33">
        <v>0</v>
      </c>
      <c r="Q33">
        <v>0.26674148627229732</v>
      </c>
      <c r="R33">
        <v>-7.173004515420317E-2</v>
      </c>
      <c r="S33">
        <v>-9.8701297064318794E-2</v>
      </c>
      <c r="T33">
        <v>-7.4038047280074494E-3</v>
      </c>
      <c r="U33">
        <v>3.4754082832592816E-3</v>
      </c>
      <c r="V33">
        <v>-1.0292977948493588E-3</v>
      </c>
      <c r="W33">
        <v>-1.0789276484522577E-3</v>
      </c>
      <c r="X33">
        <v>-2.8618428372878136E-3</v>
      </c>
      <c r="Y33">
        <v>-1.9353062665348089E-3</v>
      </c>
      <c r="Z33">
        <v>-3.1137127167145452E-3</v>
      </c>
      <c r="AA33">
        <v>-1.0740139442378697E-2</v>
      </c>
      <c r="AB33">
        <v>-9.0727379868799519E-3</v>
      </c>
      <c r="AC33">
        <v>-7.0358895371034859E-3</v>
      </c>
      <c r="AD33">
        <v>-7.6188554296225059E-3</v>
      </c>
      <c r="AE33">
        <v>-3.6204185006428226E-3</v>
      </c>
      <c r="AF33">
        <v>-6.474002608467452</v>
      </c>
      <c r="AG33">
        <v>23.615978938247515</v>
      </c>
      <c r="AH33">
        <v>4.9470901420383262E-5</v>
      </c>
      <c r="AI33">
        <v>0</v>
      </c>
    </row>
    <row r="34" spans="1:3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-5.9934749119786925</v>
      </c>
      <c r="P34">
        <v>0</v>
      </c>
      <c r="Q34">
        <v>1.3309665869432052E-15</v>
      </c>
      <c r="R34">
        <v>2.2530092627444795E-16</v>
      </c>
      <c r="S34">
        <v>3.5985513009547996E-16</v>
      </c>
      <c r="T34">
        <v>2.6993536993363507E-17</v>
      </c>
      <c r="U34">
        <v>-1.2670993564473572E-17</v>
      </c>
      <c r="V34">
        <v>5.0621970388101845E-18</v>
      </c>
      <c r="W34">
        <v>5.3062819860454492E-18</v>
      </c>
      <c r="X34">
        <v>1.4074850260976963E-17</v>
      </c>
      <c r="Y34">
        <v>9.5180439525541933E-18</v>
      </c>
      <c r="Z34">
        <v>7.8548315431439862E-18</v>
      </c>
      <c r="AA34">
        <v>-2.8534825212877011E-17</v>
      </c>
      <c r="AB34">
        <v>3.0438374383748047E-17</v>
      </c>
      <c r="AC34">
        <v>2.4006695108962098E-17</v>
      </c>
      <c r="AD34">
        <v>2.5738450450054242E-17</v>
      </c>
      <c r="AE34">
        <v>1.2630017017619845E-17</v>
      </c>
      <c r="AF34">
        <v>-7.3121825580522173E-18</v>
      </c>
      <c r="AG34">
        <v>-2.7988272154510561E-17</v>
      </c>
      <c r="AH34">
        <v>21.581517532651837</v>
      </c>
      <c r="AI34">
        <v>0</v>
      </c>
    </row>
    <row r="35" spans="1:3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-2.6262491843180973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11.896695771936168</v>
      </c>
    </row>
    <row r="44" spans="1:35">
      <c r="Z44" s="55"/>
    </row>
    <row r="45" spans="1:35">
      <c r="Z45" s="55"/>
      <c r="AA45" s="55"/>
    </row>
    <row r="46" spans="1:35">
      <c r="W46" s="55"/>
      <c r="Y46" s="55"/>
      <c r="Z46" s="55"/>
      <c r="AA46" s="55"/>
    </row>
    <row r="47" spans="1:35">
      <c r="W47" s="55"/>
      <c r="Y47" s="55"/>
      <c r="Z47" s="55"/>
      <c r="AA47" s="55"/>
    </row>
    <row r="48" spans="1:35">
      <c r="W48" s="55"/>
      <c r="Y48" s="55"/>
      <c r="Z48" s="55"/>
      <c r="AA48" s="55"/>
    </row>
    <row r="50" spans="5:35">
      <c r="W50" s="55"/>
      <c r="Y50" s="55"/>
      <c r="Z50" s="55"/>
      <c r="AA50" s="55"/>
      <c r="AD50" s="55"/>
    </row>
    <row r="51" spans="5:35">
      <c r="Z51" s="55"/>
      <c r="AA51" s="55"/>
      <c r="AD51" s="55"/>
      <c r="AG51" s="55"/>
    </row>
    <row r="52" spans="5:35">
      <c r="Z52" s="55"/>
      <c r="AA52" s="55"/>
      <c r="AD52" s="55"/>
      <c r="AG52" s="55"/>
    </row>
    <row r="57" spans="5:35">
      <c r="W57" s="55"/>
      <c r="Y57" s="55"/>
      <c r="Z57" s="55"/>
      <c r="AA57" s="55"/>
      <c r="AB57" s="55"/>
      <c r="AD57" s="55"/>
      <c r="AG57" s="55"/>
      <c r="AH57" s="55"/>
      <c r="AI57" s="55"/>
    </row>
    <row r="58" spans="5:35">
      <c r="W58" s="55"/>
      <c r="Y58" s="55"/>
      <c r="Z58" s="55"/>
      <c r="AA58" s="55"/>
      <c r="AB58" s="55"/>
      <c r="AD58" s="55"/>
      <c r="AG58" s="55"/>
      <c r="AH58" s="55"/>
      <c r="AI58" s="55"/>
    </row>
    <row r="59" spans="5:35">
      <c r="E59" s="55"/>
      <c r="F59" s="55"/>
      <c r="G59" s="55"/>
      <c r="H59" s="55"/>
      <c r="I59" s="55"/>
      <c r="J59" s="55"/>
      <c r="K59" s="55"/>
      <c r="L59" s="55"/>
      <c r="N59" s="55"/>
      <c r="O59" s="55"/>
      <c r="P59" s="55"/>
      <c r="U59" s="55"/>
      <c r="V59" s="55"/>
      <c r="Y59" s="55"/>
      <c r="Z59" s="55"/>
      <c r="AA59" s="55"/>
      <c r="AB59" s="55"/>
      <c r="AC59" s="55"/>
      <c r="AD59" s="55"/>
      <c r="AE59" s="55"/>
      <c r="AG59" s="55"/>
      <c r="AH59" s="55"/>
      <c r="AI59" s="55"/>
    </row>
    <row r="60" spans="5:35">
      <c r="Z60" s="55"/>
      <c r="AA60" s="55"/>
      <c r="AB60" s="55"/>
      <c r="AC60" s="55"/>
      <c r="AD60" s="55"/>
      <c r="AE60" s="55"/>
      <c r="AG60" s="55"/>
      <c r="AH60" s="55"/>
      <c r="AI60" s="55"/>
    </row>
    <row r="61" spans="5:35">
      <c r="G61" s="55"/>
      <c r="H61" s="55"/>
      <c r="I61" s="55"/>
      <c r="J61" s="55"/>
      <c r="K61" s="55"/>
      <c r="L61" s="55"/>
      <c r="N61" s="55"/>
      <c r="O61" s="55"/>
      <c r="P61" s="55"/>
      <c r="U61" s="55"/>
      <c r="V61" s="55"/>
      <c r="W61" s="55"/>
      <c r="AA61" s="55"/>
      <c r="AB61" s="55"/>
      <c r="AC61" s="55"/>
      <c r="AD61" s="55"/>
      <c r="AE61" s="55"/>
      <c r="AG61" s="55"/>
      <c r="AH61" s="55"/>
      <c r="AI61" s="55"/>
    </row>
    <row r="62" spans="5:35">
      <c r="E62" s="55"/>
      <c r="F62" s="55"/>
      <c r="G62" s="55"/>
      <c r="H62" s="55"/>
      <c r="I62" s="55"/>
      <c r="J62" s="55"/>
      <c r="K62" s="55"/>
      <c r="L62" s="55"/>
      <c r="N62" s="55"/>
      <c r="O62" s="55"/>
      <c r="P62" s="55"/>
      <c r="U62" s="55"/>
      <c r="V62" s="55"/>
      <c r="W62" s="55"/>
      <c r="X62" s="55"/>
      <c r="AB62" s="55"/>
      <c r="AC62" s="55"/>
      <c r="AD62" s="55"/>
      <c r="AE62" s="55"/>
      <c r="AG62" s="55"/>
      <c r="AH62" s="55"/>
      <c r="AI62" s="55"/>
    </row>
    <row r="63" spans="5:35">
      <c r="J63" s="55"/>
      <c r="K63" s="55"/>
      <c r="L63" s="55"/>
      <c r="N63" s="55"/>
      <c r="O63" s="55"/>
      <c r="P63" s="55"/>
      <c r="U63" s="55"/>
      <c r="V63" s="55"/>
      <c r="W63" s="55"/>
      <c r="X63" s="55"/>
      <c r="Y63" s="55"/>
      <c r="AD63" s="55"/>
      <c r="AE63" s="55"/>
      <c r="AG63" s="55"/>
      <c r="AI63" s="55"/>
    </row>
    <row r="64" spans="5:35">
      <c r="G64" s="55"/>
      <c r="H64" s="55"/>
      <c r="I64" s="55"/>
      <c r="J64" s="55"/>
      <c r="K64" s="55"/>
      <c r="L64" s="55"/>
      <c r="N64" s="55"/>
      <c r="O64" s="55"/>
      <c r="P64" s="55"/>
      <c r="U64" s="55"/>
      <c r="V64" s="55"/>
      <c r="W64" s="55"/>
      <c r="X64" s="55"/>
      <c r="Y64" s="55"/>
      <c r="Z64" s="55"/>
      <c r="AD64" s="55"/>
      <c r="AE64" s="55"/>
      <c r="AG64" s="55"/>
    </row>
    <row r="65" spans="8:35">
      <c r="H65" s="55"/>
      <c r="I65" s="55"/>
      <c r="J65" s="55"/>
      <c r="K65" s="55"/>
      <c r="L65" s="55"/>
      <c r="N65" s="55"/>
      <c r="O65" s="55"/>
      <c r="P65" s="55"/>
      <c r="U65" s="55"/>
      <c r="V65" s="55"/>
      <c r="W65" s="55"/>
      <c r="X65" s="55"/>
      <c r="Y65" s="55"/>
      <c r="Z65" s="55"/>
      <c r="AF65" s="55"/>
      <c r="AI65" s="55"/>
    </row>
    <row r="66" spans="8:35">
      <c r="J66" s="55"/>
      <c r="K66" s="55"/>
      <c r="L66" s="55"/>
      <c r="N66" s="55"/>
      <c r="O66" s="55"/>
      <c r="P66" s="55"/>
      <c r="U66" s="55"/>
      <c r="V66" s="55"/>
      <c r="W66" s="55"/>
      <c r="X66" s="55"/>
      <c r="Y66" s="55"/>
      <c r="Z66" s="55"/>
      <c r="AA66" s="55"/>
      <c r="AB66" s="55"/>
      <c r="AF66" s="55"/>
      <c r="AI66" s="55"/>
    </row>
    <row r="67" spans="8:35">
      <c r="J67" s="55"/>
      <c r="K67" s="55"/>
      <c r="L67" s="55"/>
      <c r="N67" s="55"/>
      <c r="O67" s="55"/>
      <c r="P67" s="55"/>
      <c r="U67" s="55"/>
      <c r="V67" s="55"/>
      <c r="W67" s="55"/>
      <c r="X67" s="55"/>
      <c r="Y67" s="55"/>
      <c r="Z67" s="55"/>
      <c r="AA67" s="55"/>
      <c r="AB67" s="55"/>
      <c r="AF67" s="55"/>
      <c r="AI67" s="55"/>
    </row>
    <row r="68" spans="8:35">
      <c r="W68" s="55"/>
      <c r="X68" s="55"/>
      <c r="Y68" s="55"/>
      <c r="Z68" s="55"/>
      <c r="AC68" s="55"/>
      <c r="AD68" s="55"/>
      <c r="AE68" s="55"/>
    </row>
    <row r="69" spans="8:35">
      <c r="N69" s="55"/>
      <c r="O69" s="55"/>
      <c r="P69" s="55"/>
      <c r="U69" s="55"/>
      <c r="V69" s="55"/>
      <c r="W69" s="55"/>
      <c r="X69" s="55"/>
      <c r="Y69" s="55"/>
      <c r="Z69" s="55"/>
      <c r="AA69" s="55"/>
      <c r="AB69" s="55"/>
      <c r="AI69" s="55"/>
    </row>
    <row r="70" spans="8:35">
      <c r="P70" s="55"/>
      <c r="U70" s="55"/>
      <c r="V70" s="55"/>
      <c r="W70" s="55"/>
      <c r="X70" s="55"/>
      <c r="Y70" s="55"/>
      <c r="Z70" s="55"/>
      <c r="AA70" s="55"/>
      <c r="AB70" s="55"/>
    </row>
    <row r="71" spans="8:35">
      <c r="U71" s="55"/>
      <c r="V71" s="55"/>
      <c r="W71" s="55"/>
      <c r="X71" s="55"/>
      <c r="Y71" s="55"/>
      <c r="Z71" s="55"/>
      <c r="AA71" s="55"/>
      <c r="AC71" s="55"/>
      <c r="AD71" s="55"/>
      <c r="AE71" s="55"/>
      <c r="AG71" s="55"/>
    </row>
    <row r="72" spans="8:35">
      <c r="O72" s="55"/>
      <c r="P72" s="55"/>
      <c r="U72" s="55"/>
      <c r="V72" s="55"/>
      <c r="W72" s="55"/>
      <c r="X72" s="55"/>
      <c r="Y72" s="55"/>
      <c r="Z72" s="55"/>
      <c r="AA72" s="55"/>
      <c r="AB72" s="55"/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jazli</vt:lpstr>
      <vt:lpstr>granki</vt:lpstr>
      <vt:lpstr>gen</vt:lpstr>
      <vt:lpstr>KB</vt:lpstr>
      <vt:lpstr>tipskiV</vt:lpstr>
      <vt:lpstr>tipskiT</vt:lpstr>
      <vt:lpstr>granki_out</vt:lpstr>
      <vt:lpstr>jazli_out</vt:lpstr>
      <vt:lpstr>G</vt:lpstr>
      <vt:lpstr>B</vt:lpstr>
      <vt:lpstr>J</vt:lpstr>
      <vt:lpstr>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Pece</cp:lastModifiedBy>
  <dcterms:created xsi:type="dcterms:W3CDTF">2006-09-16T00:00:00Z</dcterms:created>
  <dcterms:modified xsi:type="dcterms:W3CDTF">2021-11-04T11:20:48Z</dcterms:modified>
</cp:coreProperties>
</file>